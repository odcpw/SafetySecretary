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openxmlformats.org/officeDocument/2006/relationships/custom-properties" Target="docProps/custom.xml" /><Relationship Id="rId5"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https://suvaprodcloud-my.sharepoint.com/personal/oliver_decaro_suva_ch/Documents/Documents/04 Safety Science/"/>
    </mc:Choice>
  </mc:AlternateContent>
  <xr:revisionPtr revIDLastSave="0" documentId="8_{F6003806-B32C-4D84-A858-102CF8DF8760}" xr6:coauthVersionLast="47" xr6:coauthVersionMax="47" xr10:uidLastSave="{00000000-0000-0000-0000-000000000000}"/>
  <bookViews>
    <workbookView xWindow="28680" yWindow="1560" windowWidth="29040" windowHeight="15840" xr2:uid="{00000000-000D-0000-FFFF-FFFF00000000}"/>
  </bookViews>
  <sheets>
    <sheet name="Cover Page" sheetId="30" r:id="rId1"/>
    <sheet name="Risk Assessment" sheetId="20" r:id="rId2"/>
    <sheet name="Photos" sheetId="19" r:id="rId3"/>
    <sheet name="REFERENCES" sheetId="26" r:id="rId4"/>
    <sheet name="Risk Profiles" sheetId="27" r:id="rId5"/>
    <sheet name="Action Plan &amp; Mgt Validation" sheetId="29" r:id="rId6"/>
    <sheet name="Liste" sheetId="22" state="hidden" r:id="rId7"/>
  </sheets>
  <definedNames>
    <definedName name="Gravité">Liste!$A$2:$A$7</definedName>
    <definedName name="_xlnm.Print_Area" localSheetId="1">'Risk Assessment'!$A$3:$AC$69</definedName>
    <definedName name="_xlnm.Print_Titles" localSheetId="2">Photos!$1:$1</definedName>
    <definedName name="_xlnm.Print_Titles" localSheetId="3">REFERENCES!$1:$1</definedName>
    <definedName name="_xlnm.Print_Titles" localSheetId="1">'Risk Assessment'!$15:$18</definedName>
    <definedName name="Probabilité">Liste!$A$10:$A$14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 i="20" l="1"/>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19" i="20"/>
  <c r="AB24" i="20" l="1"/>
  <c r="AC24" i="20" s="1"/>
  <c r="W24" i="20"/>
  <c r="X24" i="20" s="1"/>
  <c r="E24" i="20"/>
  <c r="X40" i="20" l="1"/>
  <c r="X41" i="20"/>
  <c r="X42" i="20"/>
  <c r="X43" i="20"/>
  <c r="X44" i="20"/>
  <c r="X45" i="20"/>
  <c r="X46" i="20"/>
  <c r="X47" i="20"/>
  <c r="X48" i="20"/>
  <c r="X49" i="20"/>
  <c r="X50" i="20"/>
  <c r="X51" i="20"/>
  <c r="X52" i="20"/>
  <c r="X53" i="20"/>
  <c r="X54" i="20"/>
  <c r="X55" i="20"/>
  <c r="X56" i="20"/>
  <c r="X57" i="20"/>
  <c r="X58" i="20"/>
  <c r="X59" i="20"/>
  <c r="X60" i="20"/>
  <c r="X61" i="20"/>
  <c r="X62" i="20"/>
  <c r="X63" i="20"/>
  <c r="X64" i="20"/>
  <c r="X65" i="20"/>
  <c r="X66" i="20"/>
  <c r="X67" i="20"/>
  <c r="X68" i="20"/>
  <c r="A4" i="29" l="1"/>
  <c r="F4" i="29"/>
  <c r="A4" i="27"/>
  <c r="A1" i="19"/>
  <c r="A14" i="20"/>
  <c r="G4" i="27"/>
  <c r="C1" i="19"/>
  <c r="A15" i="20"/>
  <c r="AC45" i="20"/>
  <c r="AC46" i="20"/>
  <c r="AC47" i="20"/>
  <c r="AC48" i="20"/>
  <c r="AC49" i="20"/>
  <c r="AC50" i="20"/>
  <c r="AC51" i="20"/>
  <c r="AC52" i="20"/>
  <c r="AC53" i="20"/>
  <c r="AC54" i="20"/>
  <c r="AC55" i="20"/>
  <c r="AC56" i="20"/>
  <c r="AC57" i="20"/>
  <c r="AC58" i="20"/>
  <c r="AC59" i="20"/>
  <c r="AC60" i="20"/>
  <c r="AC61" i="20"/>
  <c r="AC62" i="20"/>
  <c r="AC63" i="20"/>
  <c r="AC64" i="20"/>
  <c r="AC65" i="20"/>
  <c r="AC66" i="20"/>
  <c r="AC67" i="20"/>
  <c r="AB19" i="20" l="1"/>
  <c r="AC19" i="20" s="1"/>
  <c r="W19" i="20"/>
  <c r="X19" i="20" s="1"/>
  <c r="E19" i="20"/>
  <c r="AB20" i="20"/>
  <c r="AC20" i="20" s="1"/>
  <c r="W20" i="20"/>
  <c r="X20" i="20" s="1"/>
  <c r="E20" i="20"/>
  <c r="AB21" i="20"/>
  <c r="AC21" i="20" s="1"/>
  <c r="W21" i="20"/>
  <c r="X21" i="20" s="1"/>
  <c r="E21" i="20"/>
  <c r="CH18" i="20" l="1"/>
  <c r="CH24" i="20" s="1"/>
  <c r="CG18" i="20"/>
  <c r="CG24" i="20" s="1"/>
  <c r="CF18" i="20"/>
  <c r="CF24" i="20" s="1"/>
  <c r="CE18" i="20"/>
  <c r="CE24" i="20" s="1"/>
  <c r="CD18" i="20"/>
  <c r="CD24" i="20" s="1"/>
  <c r="CC18" i="20"/>
  <c r="CC24" i="20" s="1"/>
  <c r="CB18" i="20"/>
  <c r="CB24" i="20" s="1"/>
  <c r="CA18" i="20"/>
  <c r="CA24" i="20" s="1"/>
  <c r="BZ18" i="20"/>
  <c r="BZ24" i="20" s="1"/>
  <c r="BY18" i="20"/>
  <c r="BY24" i="20" s="1"/>
  <c r="BX18" i="20"/>
  <c r="BX24" i="20" s="1"/>
  <c r="BW18" i="20"/>
  <c r="BW24" i="20" s="1"/>
  <c r="BV18" i="20"/>
  <c r="BV24" i="20" s="1"/>
  <c r="BU18" i="20"/>
  <c r="BU24" i="20" s="1"/>
  <c r="BT18" i="20"/>
  <c r="BT24" i="20" s="1"/>
  <c r="BS18" i="20"/>
  <c r="BS24" i="20" s="1"/>
  <c r="BR18" i="20"/>
  <c r="BR24" i="20" s="1"/>
  <c r="BQ18" i="20"/>
  <c r="BQ24" i="20" s="1"/>
  <c r="BP18" i="20"/>
  <c r="BP24" i="20" s="1"/>
  <c r="BO18" i="20"/>
  <c r="BO24" i="20" s="1"/>
  <c r="BN18" i="20"/>
  <c r="BN24" i="20" s="1"/>
  <c r="BM18" i="20"/>
  <c r="BM24" i="20" s="1"/>
  <c r="BL18" i="20"/>
  <c r="BL24" i="20" s="1"/>
  <c r="BK18" i="20"/>
  <c r="BK24" i="20" s="1"/>
  <c r="BJ18" i="20"/>
  <c r="BJ24" i="20" s="1"/>
  <c r="BJ20" i="20" l="1"/>
  <c r="BJ21" i="20"/>
  <c r="BJ19" i="20"/>
  <c r="BN20" i="20"/>
  <c r="BN21" i="20"/>
  <c r="BN19" i="20"/>
  <c r="BR20" i="20"/>
  <c r="BR21" i="20"/>
  <c r="BR19" i="20"/>
  <c r="BV20" i="20"/>
  <c r="BV21" i="20"/>
  <c r="BV19" i="20"/>
  <c r="BZ19" i="20"/>
  <c r="BZ20" i="20"/>
  <c r="BZ21" i="20"/>
  <c r="CD19" i="20"/>
  <c r="CD20" i="20"/>
  <c r="CD21" i="20"/>
  <c r="CH20" i="20"/>
  <c r="CH21" i="20"/>
  <c r="CH19" i="20"/>
  <c r="BK20" i="20"/>
  <c r="BK21" i="20"/>
  <c r="BK19" i="20"/>
  <c r="BO20" i="20"/>
  <c r="BO21" i="20"/>
  <c r="BO19" i="20"/>
  <c r="BS20" i="20"/>
  <c r="BS21" i="20"/>
  <c r="BS19" i="20"/>
  <c r="BW20" i="20"/>
  <c r="BW21" i="20"/>
  <c r="BW19" i="20"/>
  <c r="CA20" i="20"/>
  <c r="CA21" i="20"/>
  <c r="CA19" i="20"/>
  <c r="CE20" i="20"/>
  <c r="CE21" i="20"/>
  <c r="CE19" i="20"/>
  <c r="BL19" i="20"/>
  <c r="BL20" i="20"/>
  <c r="BL21" i="20"/>
  <c r="BP19" i="20"/>
  <c r="BP20" i="20"/>
  <c r="BP21" i="20"/>
  <c r="BT20" i="20"/>
  <c r="BT21" i="20"/>
  <c r="BT19" i="20"/>
  <c r="BX20" i="20"/>
  <c r="BX21" i="20"/>
  <c r="BX19" i="20"/>
  <c r="CB20" i="20"/>
  <c r="CB21" i="20"/>
  <c r="CB19" i="20"/>
  <c r="CF20" i="20"/>
  <c r="CF21" i="20"/>
  <c r="CF19" i="20"/>
  <c r="BM19" i="20"/>
  <c r="BM20" i="20"/>
  <c r="BM21" i="20"/>
  <c r="BQ19" i="20"/>
  <c r="BQ20" i="20"/>
  <c r="BQ21" i="20"/>
  <c r="BU19" i="20"/>
  <c r="BU20" i="20"/>
  <c r="BU21" i="20"/>
  <c r="BY19" i="20"/>
  <c r="BY20" i="20"/>
  <c r="BY21" i="20"/>
  <c r="CC19" i="20"/>
  <c r="CC20" i="20"/>
  <c r="CC21" i="20"/>
  <c r="CG19" i="20"/>
  <c r="CG20" i="20"/>
  <c r="CG21" i="20"/>
  <c r="BK25" i="20"/>
  <c r="BK22" i="20"/>
  <c r="BK27" i="20"/>
  <c r="BK31" i="20"/>
  <c r="BK35" i="20"/>
  <c r="BK29" i="20"/>
  <c r="BK32" i="20"/>
  <c r="BK38" i="20"/>
  <c r="BK26" i="20"/>
  <c r="BK34" i="20"/>
  <c r="BK36" i="20"/>
  <c r="BK40" i="20"/>
  <c r="BK44" i="20"/>
  <c r="BK48" i="20"/>
  <c r="BK52" i="20"/>
  <c r="BK23" i="20"/>
  <c r="BK39" i="20"/>
  <c r="BK47" i="20"/>
  <c r="BK50" i="20"/>
  <c r="BK53" i="20"/>
  <c r="BK57" i="20"/>
  <c r="BK61" i="20"/>
  <c r="BK28" i="20"/>
  <c r="BK30" i="20"/>
  <c r="BK33" i="20"/>
  <c r="BK43" i="20"/>
  <c r="BK46" i="20"/>
  <c r="BK49" i="20"/>
  <c r="BK42" i="20"/>
  <c r="BK45" i="20"/>
  <c r="BK55" i="20"/>
  <c r="BK58" i="20"/>
  <c r="BK66" i="20"/>
  <c r="BK56" i="20"/>
  <c r="BK59" i="20"/>
  <c r="BK51" i="20"/>
  <c r="BK60" i="20"/>
  <c r="BK62" i="20"/>
  <c r="BK64" i="20"/>
  <c r="BK54" i="20"/>
  <c r="BK37" i="20"/>
  <c r="BK65" i="20"/>
  <c r="BK68" i="20"/>
  <c r="BK63" i="20"/>
  <c r="BK67" i="20"/>
  <c r="BK41" i="20"/>
  <c r="BW25" i="20"/>
  <c r="BW22" i="20"/>
  <c r="BW27" i="20"/>
  <c r="BW31" i="20"/>
  <c r="BW35" i="20"/>
  <c r="BW26" i="20"/>
  <c r="BW30" i="20"/>
  <c r="BW33" i="20"/>
  <c r="BW38" i="20"/>
  <c r="BW36" i="20"/>
  <c r="BW40" i="20"/>
  <c r="BW44" i="20"/>
  <c r="BW48" i="20"/>
  <c r="BW52" i="20"/>
  <c r="BW28" i="20"/>
  <c r="BW29" i="20"/>
  <c r="BW32" i="20"/>
  <c r="BW41" i="20"/>
  <c r="BW51" i="20"/>
  <c r="BW57" i="20"/>
  <c r="BW61" i="20"/>
  <c r="BW37" i="20"/>
  <c r="BW47" i="20"/>
  <c r="BW39" i="20"/>
  <c r="BW54" i="20"/>
  <c r="BW43" i="20"/>
  <c r="BW46" i="20"/>
  <c r="BW49" i="20"/>
  <c r="BW56" i="20"/>
  <c r="BW59" i="20"/>
  <c r="BW62" i="20"/>
  <c r="BW66" i="20"/>
  <c r="BW45" i="20"/>
  <c r="BW60" i="20"/>
  <c r="BW64" i="20"/>
  <c r="BW67" i="20"/>
  <c r="BW50" i="20"/>
  <c r="BW42" i="20"/>
  <c r="BW53" i="20"/>
  <c r="BW63" i="20"/>
  <c r="BW34" i="20"/>
  <c r="BW55" i="20"/>
  <c r="BW65" i="20"/>
  <c r="BW68" i="20"/>
  <c r="BW23" i="20"/>
  <c r="BW58" i="20"/>
  <c r="CE25" i="20"/>
  <c r="CE22" i="20"/>
  <c r="CE27" i="20"/>
  <c r="CE31" i="20"/>
  <c r="CE26" i="20"/>
  <c r="CE38" i="20"/>
  <c r="CE30" i="20"/>
  <c r="CE33" i="20"/>
  <c r="CE36" i="20"/>
  <c r="CE40" i="20"/>
  <c r="CE44" i="20"/>
  <c r="CE48" i="20"/>
  <c r="CE52" i="20"/>
  <c r="CE35" i="20"/>
  <c r="CE43" i="20"/>
  <c r="CE46" i="20"/>
  <c r="CE49" i="20"/>
  <c r="CE57" i="20"/>
  <c r="CE61" i="20"/>
  <c r="CE23" i="20"/>
  <c r="CE37" i="20"/>
  <c r="CE42" i="20"/>
  <c r="CE45" i="20"/>
  <c r="CE28" i="20"/>
  <c r="CE34" i="20"/>
  <c r="CE50" i="20"/>
  <c r="CE56" i="20"/>
  <c r="CE39" i="20"/>
  <c r="CE41" i="20"/>
  <c r="CE51" i="20"/>
  <c r="CE53" i="20"/>
  <c r="CE54" i="20"/>
  <c r="CE66" i="20"/>
  <c r="CE29" i="20"/>
  <c r="CE60" i="20"/>
  <c r="CE62" i="20"/>
  <c r="CE65" i="20"/>
  <c r="CE68" i="20"/>
  <c r="CE55" i="20"/>
  <c r="CE59" i="20"/>
  <c r="CE63" i="20"/>
  <c r="CE64" i="20"/>
  <c r="CE67" i="20"/>
  <c r="CE58" i="20"/>
  <c r="CE47" i="20"/>
  <c r="CE32" i="20"/>
  <c r="BT23" i="20"/>
  <c r="BT28" i="20"/>
  <c r="BT26" i="20"/>
  <c r="BT30" i="20"/>
  <c r="BT34" i="20"/>
  <c r="BT31" i="20"/>
  <c r="BT37" i="20"/>
  <c r="BT25" i="20"/>
  <c r="BT33" i="20"/>
  <c r="BT39" i="20"/>
  <c r="BT43" i="20"/>
  <c r="BT47" i="20"/>
  <c r="BT51" i="20"/>
  <c r="BT22" i="20"/>
  <c r="BT38" i="20"/>
  <c r="BT46" i="20"/>
  <c r="BT49" i="20"/>
  <c r="BT52" i="20"/>
  <c r="BT56" i="20"/>
  <c r="BT60" i="20"/>
  <c r="BT64" i="20"/>
  <c r="BT27" i="20"/>
  <c r="BT40" i="20"/>
  <c r="BT42" i="20"/>
  <c r="BT45" i="20"/>
  <c r="BT48" i="20"/>
  <c r="BT53" i="20"/>
  <c r="BT41" i="20"/>
  <c r="BT44" i="20"/>
  <c r="BT50" i="20"/>
  <c r="BT54" i="20"/>
  <c r="BT57" i="20"/>
  <c r="BT65" i="20"/>
  <c r="BT36" i="20"/>
  <c r="BT59" i="20"/>
  <c r="BT61" i="20"/>
  <c r="BT63" i="20"/>
  <c r="BT35" i="20"/>
  <c r="BT68" i="20"/>
  <c r="BT32" i="20"/>
  <c r="BT58" i="20"/>
  <c r="BT67" i="20"/>
  <c r="BT55" i="20"/>
  <c r="BT62" i="20"/>
  <c r="BT66" i="20"/>
  <c r="BT29" i="20"/>
  <c r="CB23" i="20"/>
  <c r="CB28" i="20"/>
  <c r="CB26" i="20"/>
  <c r="CB30" i="20"/>
  <c r="CB34" i="20"/>
  <c r="CB33" i="20"/>
  <c r="CB37" i="20"/>
  <c r="CB25" i="20"/>
  <c r="CB31" i="20"/>
  <c r="CB35" i="20"/>
  <c r="CB39" i="20"/>
  <c r="CB43" i="20"/>
  <c r="CB47" i="20"/>
  <c r="CB51" i="20"/>
  <c r="CB38" i="20"/>
  <c r="CB41" i="20"/>
  <c r="CB44" i="20"/>
  <c r="CB56" i="20"/>
  <c r="CB60" i="20"/>
  <c r="CB40" i="20"/>
  <c r="CB22" i="20"/>
  <c r="CB29" i="20"/>
  <c r="CB46" i="20"/>
  <c r="CB49" i="20"/>
  <c r="CB53" i="20"/>
  <c r="CB54" i="20"/>
  <c r="CB57" i="20"/>
  <c r="CB32" i="20"/>
  <c r="CB50" i="20"/>
  <c r="CB52" i="20"/>
  <c r="CB59" i="20"/>
  <c r="CB62" i="20"/>
  <c r="CB65" i="20"/>
  <c r="CB27" i="20"/>
  <c r="CB61" i="20"/>
  <c r="CB64" i="20"/>
  <c r="CB67" i="20"/>
  <c r="CB36" i="20"/>
  <c r="CB45" i="20"/>
  <c r="CB55" i="20"/>
  <c r="CB58" i="20"/>
  <c r="CB63" i="20"/>
  <c r="CB66" i="20"/>
  <c r="CB48" i="20"/>
  <c r="CB42" i="20"/>
  <c r="CB68" i="20"/>
  <c r="BM22" i="20"/>
  <c r="BM27" i="20"/>
  <c r="BM25" i="20"/>
  <c r="BM29" i="20"/>
  <c r="BM33" i="20"/>
  <c r="BM28" i="20"/>
  <c r="BM30" i="20"/>
  <c r="BM36" i="20"/>
  <c r="BM40" i="20"/>
  <c r="BM23" i="20"/>
  <c r="BM32" i="20"/>
  <c r="BM35" i="20"/>
  <c r="BM38" i="20"/>
  <c r="BM42" i="20"/>
  <c r="BM46" i="20"/>
  <c r="BM50" i="20"/>
  <c r="BM54" i="20"/>
  <c r="BM37" i="20"/>
  <c r="BM45" i="20"/>
  <c r="BM48" i="20"/>
  <c r="BM51" i="20"/>
  <c r="BM55" i="20"/>
  <c r="BM59" i="20"/>
  <c r="BM63" i="20"/>
  <c r="BM26" i="20"/>
  <c r="BM39" i="20"/>
  <c r="BM41" i="20"/>
  <c r="BM44" i="20"/>
  <c r="BM47" i="20"/>
  <c r="BM53" i="20"/>
  <c r="BM58" i="20"/>
  <c r="BM43" i="20"/>
  <c r="BM52" i="20"/>
  <c r="BM56" i="20"/>
  <c r="BM68" i="20"/>
  <c r="BM61" i="20"/>
  <c r="BM49" i="20"/>
  <c r="BM67" i="20"/>
  <c r="BM62" i="20"/>
  <c r="BM66" i="20"/>
  <c r="BM34" i="20"/>
  <c r="BM57" i="20"/>
  <c r="BM60" i="20"/>
  <c r="BM64" i="20"/>
  <c r="BM31" i="20"/>
  <c r="BM65" i="20"/>
  <c r="BU22" i="20"/>
  <c r="BU27" i="20"/>
  <c r="BU25" i="20"/>
  <c r="BU29" i="20"/>
  <c r="BU33" i="20"/>
  <c r="BU28" i="20"/>
  <c r="BU32" i="20"/>
  <c r="BU35" i="20"/>
  <c r="BU36" i="20"/>
  <c r="BU40" i="20"/>
  <c r="BU23" i="20"/>
  <c r="BU30" i="20"/>
  <c r="BU38" i="20"/>
  <c r="BU42" i="20"/>
  <c r="BU46" i="20"/>
  <c r="BU50" i="20"/>
  <c r="BU37" i="20"/>
  <c r="BU43" i="20"/>
  <c r="BU53" i="20"/>
  <c r="BU55" i="20"/>
  <c r="BU59" i="20"/>
  <c r="BU63" i="20"/>
  <c r="BU39" i="20"/>
  <c r="BU49" i="20"/>
  <c r="BU31" i="20"/>
  <c r="BU45" i="20"/>
  <c r="BU48" i="20"/>
  <c r="BU51" i="20"/>
  <c r="BU56" i="20"/>
  <c r="BU34" i="20"/>
  <c r="BU52" i="20"/>
  <c r="BU58" i="20"/>
  <c r="BU61" i="20"/>
  <c r="BU64" i="20"/>
  <c r="BU68" i="20"/>
  <c r="BU66" i="20"/>
  <c r="BU41" i="20"/>
  <c r="BU47" i="20"/>
  <c r="BU54" i="20"/>
  <c r="BU57" i="20"/>
  <c r="BU65" i="20"/>
  <c r="BU60" i="20"/>
  <c r="BU26" i="20"/>
  <c r="BU62" i="20"/>
  <c r="BU67" i="20"/>
  <c r="BU44" i="20"/>
  <c r="BY22" i="20"/>
  <c r="BY27" i="20"/>
  <c r="BY25" i="20"/>
  <c r="BY29" i="20"/>
  <c r="BY33" i="20"/>
  <c r="BY23" i="20"/>
  <c r="BY31" i="20"/>
  <c r="BY34" i="20"/>
  <c r="BY36" i="20"/>
  <c r="BY40" i="20"/>
  <c r="BY28" i="20"/>
  <c r="BY38" i="20"/>
  <c r="BY42" i="20"/>
  <c r="BY46" i="20"/>
  <c r="BY50" i="20"/>
  <c r="BY26" i="20"/>
  <c r="BY49" i="20"/>
  <c r="BY52" i="20"/>
  <c r="BY55" i="20"/>
  <c r="BY59" i="20"/>
  <c r="BY63" i="20"/>
  <c r="BY32" i="20"/>
  <c r="BY35" i="20"/>
  <c r="BY45" i="20"/>
  <c r="BY48" i="20"/>
  <c r="BY30" i="20"/>
  <c r="BY37" i="20"/>
  <c r="BY41" i="20"/>
  <c r="BY44" i="20"/>
  <c r="BY47" i="20"/>
  <c r="BY51" i="20"/>
  <c r="BY54" i="20"/>
  <c r="BY57" i="20"/>
  <c r="BY60" i="20"/>
  <c r="BY64" i="20"/>
  <c r="BY68" i="20"/>
  <c r="BY58" i="20"/>
  <c r="BY65" i="20"/>
  <c r="BY56" i="20"/>
  <c r="BY62" i="20"/>
  <c r="BY39" i="20"/>
  <c r="BY67" i="20"/>
  <c r="BY43" i="20"/>
  <c r="BY53" i="20"/>
  <c r="BY61" i="20"/>
  <c r="BY66" i="20"/>
  <c r="CC22" i="20"/>
  <c r="CC27" i="20"/>
  <c r="CC25" i="20"/>
  <c r="CC29" i="20"/>
  <c r="CC33" i="20"/>
  <c r="CC28" i="20"/>
  <c r="CC30" i="20"/>
  <c r="CC36" i="20"/>
  <c r="CC23" i="20"/>
  <c r="CC32" i="20"/>
  <c r="CC38" i="20"/>
  <c r="CC42" i="20"/>
  <c r="CC46" i="20"/>
  <c r="CC50" i="20"/>
  <c r="CC37" i="20"/>
  <c r="CC45" i="20"/>
  <c r="CC48" i="20"/>
  <c r="CC51" i="20"/>
  <c r="CC55" i="20"/>
  <c r="CC59" i="20"/>
  <c r="CC63" i="20"/>
  <c r="CC26" i="20"/>
  <c r="CC31" i="20"/>
  <c r="CC34" i="20"/>
  <c r="CC39" i="20"/>
  <c r="CC41" i="20"/>
  <c r="CC44" i="20"/>
  <c r="CC47" i="20"/>
  <c r="CC40" i="20"/>
  <c r="CC43" i="20"/>
  <c r="CC58" i="20"/>
  <c r="CC56" i="20"/>
  <c r="CC64" i="20"/>
  <c r="CC68" i="20"/>
  <c r="CC49" i="20"/>
  <c r="CC53" i="20"/>
  <c r="CC54" i="20"/>
  <c r="CC57" i="20"/>
  <c r="CC52" i="20"/>
  <c r="CC61" i="20"/>
  <c r="CC67" i="20"/>
  <c r="CC35" i="20"/>
  <c r="CC66" i="20"/>
  <c r="CC60" i="20"/>
  <c r="CC65" i="20"/>
  <c r="CC62" i="20"/>
  <c r="CG22" i="20"/>
  <c r="CG27" i="20"/>
  <c r="CG25" i="20"/>
  <c r="CG29" i="20"/>
  <c r="CG33" i="20"/>
  <c r="CG23" i="20"/>
  <c r="CG36" i="20"/>
  <c r="CG28" i="20"/>
  <c r="CG31" i="20"/>
  <c r="CG34" i="20"/>
  <c r="CG38" i="20"/>
  <c r="CG42" i="20"/>
  <c r="CG46" i="20"/>
  <c r="CG50" i="20"/>
  <c r="CG32" i="20"/>
  <c r="CG41" i="20"/>
  <c r="CG44" i="20"/>
  <c r="CG47" i="20"/>
  <c r="CG55" i="20"/>
  <c r="CG59" i="20"/>
  <c r="CG63" i="20"/>
  <c r="CG30" i="20"/>
  <c r="CG35" i="20"/>
  <c r="CG40" i="20"/>
  <c r="CG43" i="20"/>
  <c r="CG54" i="20"/>
  <c r="CG57" i="20"/>
  <c r="CG26" i="20"/>
  <c r="CG37" i="20"/>
  <c r="CG62" i="20"/>
  <c r="CG64" i="20"/>
  <c r="CG68" i="20"/>
  <c r="CG48" i="20"/>
  <c r="CG56" i="20"/>
  <c r="CG67" i="20"/>
  <c r="CG49" i="20"/>
  <c r="CG53" i="20"/>
  <c r="CG60" i="20"/>
  <c r="CG66" i="20"/>
  <c r="CG45" i="20"/>
  <c r="CG52" i="20"/>
  <c r="CG65" i="20"/>
  <c r="CG39" i="20"/>
  <c r="CG58" i="20"/>
  <c r="CG61" i="20"/>
  <c r="CG51" i="20"/>
  <c r="BO25" i="20"/>
  <c r="BO22" i="20"/>
  <c r="BO27" i="20"/>
  <c r="BO31" i="20"/>
  <c r="BO35" i="20"/>
  <c r="BO26" i="20"/>
  <c r="BO38" i="20"/>
  <c r="BO30" i="20"/>
  <c r="BO33" i="20"/>
  <c r="BO36" i="20"/>
  <c r="BO40" i="20"/>
  <c r="BO44" i="20"/>
  <c r="BO48" i="20"/>
  <c r="BO52" i="20"/>
  <c r="BO34" i="20"/>
  <c r="BO43" i="20"/>
  <c r="BO46" i="20"/>
  <c r="BO49" i="20"/>
  <c r="BO57" i="20"/>
  <c r="BO61" i="20"/>
  <c r="BO23" i="20"/>
  <c r="BO29" i="20"/>
  <c r="BO32" i="20"/>
  <c r="BO37" i="20"/>
  <c r="BO42" i="20"/>
  <c r="BO45" i="20"/>
  <c r="BO41" i="20"/>
  <c r="BO56" i="20"/>
  <c r="BO59" i="20"/>
  <c r="BO28" i="20"/>
  <c r="BO39" i="20"/>
  <c r="BO64" i="20"/>
  <c r="BO66" i="20"/>
  <c r="BO47" i="20"/>
  <c r="BO53" i="20"/>
  <c r="BO55" i="20"/>
  <c r="BO58" i="20"/>
  <c r="BO63" i="20"/>
  <c r="BO65" i="20"/>
  <c r="BO68" i="20"/>
  <c r="BO51" i="20"/>
  <c r="BO67" i="20"/>
  <c r="BO50" i="20"/>
  <c r="BO60" i="20"/>
  <c r="BO54" i="20"/>
  <c r="BO62" i="20"/>
  <c r="BS25" i="20"/>
  <c r="BS22" i="20"/>
  <c r="BS27" i="20"/>
  <c r="BS31" i="20"/>
  <c r="BS35" i="20"/>
  <c r="BS34" i="20"/>
  <c r="BS38" i="20"/>
  <c r="BS26" i="20"/>
  <c r="BS29" i="20"/>
  <c r="BS32" i="20"/>
  <c r="BS36" i="20"/>
  <c r="BS40" i="20"/>
  <c r="BS44" i="20"/>
  <c r="BS48" i="20"/>
  <c r="BS52" i="20"/>
  <c r="BS30" i="20"/>
  <c r="BS33" i="20"/>
  <c r="BS39" i="20"/>
  <c r="BS42" i="20"/>
  <c r="BS45" i="20"/>
  <c r="BS57" i="20"/>
  <c r="BS61" i="20"/>
  <c r="BS41" i="20"/>
  <c r="BS55" i="20"/>
  <c r="BS58" i="20"/>
  <c r="BS23" i="20"/>
  <c r="BS47" i="20"/>
  <c r="BS60" i="20"/>
  <c r="BS63" i="20"/>
  <c r="BS66" i="20"/>
  <c r="BS46" i="20"/>
  <c r="BS50" i="20"/>
  <c r="BS54" i="20"/>
  <c r="BS65" i="20"/>
  <c r="BS68" i="20"/>
  <c r="BS28" i="20"/>
  <c r="BS53" i="20"/>
  <c r="BS62" i="20"/>
  <c r="BS67" i="20"/>
  <c r="BS49" i="20"/>
  <c r="BS64" i="20"/>
  <c r="BS43" i="20"/>
  <c r="BS37" i="20"/>
  <c r="BS51" i="20"/>
  <c r="BS56" i="20"/>
  <c r="BS59" i="20"/>
  <c r="CA25" i="20"/>
  <c r="CA22" i="20"/>
  <c r="CA27" i="20"/>
  <c r="CA31" i="20"/>
  <c r="CA29" i="20"/>
  <c r="CA32" i="20"/>
  <c r="CA38" i="20"/>
  <c r="CA26" i="20"/>
  <c r="CA34" i="20"/>
  <c r="CA36" i="20"/>
  <c r="CA40" i="20"/>
  <c r="CA44" i="20"/>
  <c r="CA48" i="20"/>
  <c r="CA52" i="20"/>
  <c r="CA23" i="20"/>
  <c r="CA39" i="20"/>
  <c r="CA47" i="20"/>
  <c r="CA50" i="20"/>
  <c r="CA53" i="20"/>
  <c r="CA57" i="20"/>
  <c r="CA61" i="20"/>
  <c r="CA28" i="20"/>
  <c r="CA43" i="20"/>
  <c r="CA46" i="20"/>
  <c r="CA49" i="20"/>
  <c r="CA35" i="20"/>
  <c r="CA51" i="20"/>
  <c r="CA42" i="20"/>
  <c r="CA45" i="20"/>
  <c r="CA55" i="20"/>
  <c r="CA58" i="20"/>
  <c r="CA66" i="20"/>
  <c r="CA37" i="20"/>
  <c r="CA59" i="20"/>
  <c r="CA63" i="20"/>
  <c r="CA33" i="20"/>
  <c r="CA56" i="20"/>
  <c r="CA62" i="20"/>
  <c r="CA65" i="20"/>
  <c r="CA68" i="20"/>
  <c r="CA30" i="20"/>
  <c r="CA41" i="20"/>
  <c r="CA60" i="20"/>
  <c r="CA54" i="20"/>
  <c r="CA64" i="20"/>
  <c r="CA67" i="20"/>
  <c r="BL23" i="20"/>
  <c r="BL28" i="20"/>
  <c r="BL26" i="20"/>
  <c r="BL30" i="20"/>
  <c r="BL34" i="20"/>
  <c r="BL33" i="20"/>
  <c r="BL37" i="20"/>
  <c r="BL25" i="20"/>
  <c r="BL31" i="20"/>
  <c r="BL39" i="20"/>
  <c r="BL43" i="20"/>
  <c r="BL47" i="20"/>
  <c r="BL51" i="20"/>
  <c r="BL29" i="20"/>
  <c r="BL32" i="20"/>
  <c r="BL35" i="20"/>
  <c r="BL38" i="20"/>
  <c r="BL41" i="20"/>
  <c r="BL44" i="20"/>
  <c r="BL54" i="20"/>
  <c r="BL56" i="20"/>
  <c r="BL60" i="20"/>
  <c r="BL64" i="20"/>
  <c r="BL40" i="20"/>
  <c r="BL57" i="20"/>
  <c r="BL22" i="20"/>
  <c r="BL46" i="20"/>
  <c r="BL49" i="20"/>
  <c r="BL59" i="20"/>
  <c r="BL62" i="20"/>
  <c r="BL65" i="20"/>
  <c r="BL42" i="20"/>
  <c r="BL48" i="20"/>
  <c r="BL52" i="20"/>
  <c r="BL63" i="20"/>
  <c r="BL67" i="20"/>
  <c r="BL66" i="20"/>
  <c r="BL45" i="20"/>
  <c r="BL50" i="20"/>
  <c r="BL27" i="20"/>
  <c r="BL58" i="20"/>
  <c r="BL68" i="20"/>
  <c r="BL36" i="20"/>
  <c r="BL55" i="20"/>
  <c r="BL61" i="20"/>
  <c r="BL53" i="20"/>
  <c r="BP23" i="20"/>
  <c r="BP28" i="20"/>
  <c r="BP26" i="20"/>
  <c r="BP30" i="20"/>
  <c r="BP34" i="20"/>
  <c r="BP25" i="20"/>
  <c r="BP29" i="20"/>
  <c r="BP32" i="20"/>
  <c r="BP35" i="20"/>
  <c r="BP37" i="20"/>
  <c r="BP39" i="20"/>
  <c r="BP43" i="20"/>
  <c r="BP47" i="20"/>
  <c r="BP51" i="20"/>
  <c r="BP27" i="20"/>
  <c r="BP31" i="20"/>
  <c r="BP50" i="20"/>
  <c r="BP53" i="20"/>
  <c r="BP56" i="20"/>
  <c r="BP60" i="20"/>
  <c r="BP64" i="20"/>
  <c r="BP36" i="20"/>
  <c r="BP46" i="20"/>
  <c r="BP49" i="20"/>
  <c r="BP38" i="20"/>
  <c r="BP54" i="20"/>
  <c r="BP42" i="20"/>
  <c r="BP45" i="20"/>
  <c r="BP48" i="20"/>
  <c r="BP55" i="20"/>
  <c r="BP58" i="20"/>
  <c r="BP61" i="20"/>
  <c r="BP65" i="20"/>
  <c r="BP33" i="20"/>
  <c r="BP40" i="20"/>
  <c r="BP41" i="20"/>
  <c r="BP62" i="20"/>
  <c r="BP66" i="20"/>
  <c r="BP22" i="20"/>
  <c r="BP52" i="20"/>
  <c r="BP44" i="20"/>
  <c r="BP59" i="20"/>
  <c r="BP63" i="20"/>
  <c r="BP68" i="20"/>
  <c r="BP57" i="20"/>
  <c r="BP67" i="20"/>
  <c r="BX23" i="20"/>
  <c r="BX28" i="20"/>
  <c r="BX26" i="20"/>
  <c r="BX30" i="20"/>
  <c r="BX34" i="20"/>
  <c r="BX25" i="20"/>
  <c r="BX37" i="20"/>
  <c r="BX29" i="20"/>
  <c r="BX32" i="20"/>
  <c r="BX35" i="20"/>
  <c r="BX39" i="20"/>
  <c r="BX43" i="20"/>
  <c r="BX47" i="20"/>
  <c r="BX51" i="20"/>
  <c r="BX42" i="20"/>
  <c r="BX45" i="20"/>
  <c r="BX48" i="20"/>
  <c r="BX56" i="20"/>
  <c r="BX60" i="20"/>
  <c r="BX22" i="20"/>
  <c r="BX36" i="20"/>
  <c r="BX41" i="20"/>
  <c r="BX44" i="20"/>
  <c r="BX27" i="20"/>
  <c r="BX50" i="20"/>
  <c r="BX52" i="20"/>
  <c r="BX55" i="20"/>
  <c r="BX58" i="20"/>
  <c r="BX33" i="20"/>
  <c r="BX38" i="20"/>
  <c r="BX53" i="20"/>
  <c r="BX63" i="20"/>
  <c r="BX65" i="20"/>
  <c r="BX31" i="20"/>
  <c r="BX62" i="20"/>
  <c r="BX68" i="20"/>
  <c r="BX40" i="20"/>
  <c r="BX46" i="20"/>
  <c r="BX64" i="20"/>
  <c r="BX67" i="20"/>
  <c r="BX57" i="20"/>
  <c r="BX61" i="20"/>
  <c r="BX66" i="20"/>
  <c r="BX54" i="20"/>
  <c r="BX59" i="20"/>
  <c r="BX49" i="20"/>
  <c r="CF23" i="20"/>
  <c r="CF28" i="20"/>
  <c r="CF26" i="20"/>
  <c r="CF30" i="20"/>
  <c r="CF34" i="20"/>
  <c r="CF25" i="20"/>
  <c r="CF29" i="20"/>
  <c r="CF32" i="20"/>
  <c r="CF37" i="20"/>
  <c r="CF35" i="20"/>
  <c r="CF39" i="20"/>
  <c r="CF43" i="20"/>
  <c r="CF47" i="20"/>
  <c r="CF51" i="20"/>
  <c r="CF27" i="20"/>
  <c r="CF40" i="20"/>
  <c r="CF50" i="20"/>
  <c r="CF53" i="20"/>
  <c r="CF56" i="20"/>
  <c r="CF60" i="20"/>
  <c r="CF33" i="20"/>
  <c r="CF36" i="20"/>
  <c r="CF46" i="20"/>
  <c r="CF38" i="20"/>
  <c r="CF42" i="20"/>
  <c r="CF45" i="20"/>
  <c r="CF48" i="20"/>
  <c r="CF52" i="20"/>
  <c r="CF31" i="20"/>
  <c r="CF49" i="20"/>
  <c r="CF55" i="20"/>
  <c r="CF58" i="20"/>
  <c r="CF61" i="20"/>
  <c r="CF65" i="20"/>
  <c r="CF66" i="20"/>
  <c r="CF44" i="20"/>
  <c r="CF54" i="20"/>
  <c r="CF57" i="20"/>
  <c r="CF62" i="20"/>
  <c r="CF22" i="20"/>
  <c r="CF68" i="20"/>
  <c r="CF41" i="20"/>
  <c r="CF63" i="20"/>
  <c r="CF64" i="20"/>
  <c r="CF59" i="20"/>
  <c r="CF67" i="20"/>
  <c r="BQ22" i="20"/>
  <c r="BQ27" i="20"/>
  <c r="BQ25" i="20"/>
  <c r="BQ29" i="20"/>
  <c r="BQ33" i="20"/>
  <c r="BQ23" i="20"/>
  <c r="BQ36" i="20"/>
  <c r="BQ40" i="20"/>
  <c r="BQ28" i="20"/>
  <c r="BQ31" i="20"/>
  <c r="BQ34" i="20"/>
  <c r="BQ38" i="20"/>
  <c r="BQ42" i="20"/>
  <c r="BQ46" i="20"/>
  <c r="BQ50" i="20"/>
  <c r="BQ54" i="20"/>
  <c r="BQ41" i="20"/>
  <c r="BQ44" i="20"/>
  <c r="BQ47" i="20"/>
  <c r="BQ55" i="20"/>
  <c r="BQ59" i="20"/>
  <c r="BQ63" i="20"/>
  <c r="BQ43" i="20"/>
  <c r="BQ26" i="20"/>
  <c r="BQ32" i="20"/>
  <c r="BQ49" i="20"/>
  <c r="BQ52" i="20"/>
  <c r="BQ57" i="20"/>
  <c r="BQ35" i="20"/>
  <c r="BQ37" i="20"/>
  <c r="BQ51" i="20"/>
  <c r="BQ53" i="20"/>
  <c r="BQ62" i="20"/>
  <c r="BQ68" i="20"/>
  <c r="BQ60" i="20"/>
  <c r="BQ64" i="20"/>
  <c r="BQ67" i="20"/>
  <c r="BQ30" i="20"/>
  <c r="BQ39" i="20"/>
  <c r="BQ48" i="20"/>
  <c r="BQ58" i="20"/>
  <c r="BQ66" i="20"/>
  <c r="BQ65" i="20"/>
  <c r="BQ56" i="20"/>
  <c r="BQ61" i="20"/>
  <c r="BQ45" i="20"/>
  <c r="BJ26" i="20"/>
  <c r="BJ23" i="20"/>
  <c r="BJ28" i="20"/>
  <c r="BJ32" i="20"/>
  <c r="BJ22" i="20"/>
  <c r="BJ35" i="20"/>
  <c r="BJ39" i="20"/>
  <c r="BJ27" i="20"/>
  <c r="BJ30" i="20"/>
  <c r="BJ33" i="20"/>
  <c r="BJ37" i="20"/>
  <c r="BJ41" i="20"/>
  <c r="BJ45" i="20"/>
  <c r="BJ49" i="20"/>
  <c r="BJ53" i="20"/>
  <c r="BJ40" i="20"/>
  <c r="BJ43" i="20"/>
  <c r="BJ46" i="20"/>
  <c r="BJ58" i="20"/>
  <c r="BJ62" i="20"/>
  <c r="BJ42" i="20"/>
  <c r="BJ25" i="20"/>
  <c r="BJ34" i="20"/>
  <c r="BJ48" i="20"/>
  <c r="BJ50" i="20"/>
  <c r="BJ52" i="20"/>
  <c r="BJ54" i="20"/>
  <c r="BJ56" i="20"/>
  <c r="BJ59" i="20"/>
  <c r="BJ31" i="20"/>
  <c r="BJ36" i="20"/>
  <c r="BJ51" i="20"/>
  <c r="BJ61" i="20"/>
  <c r="BJ64" i="20"/>
  <c r="BJ67" i="20"/>
  <c r="BJ60" i="20"/>
  <c r="BJ66" i="20"/>
  <c r="BJ38" i="20"/>
  <c r="BJ44" i="20"/>
  <c r="BJ57" i="20"/>
  <c r="BJ65" i="20"/>
  <c r="BJ68" i="20"/>
  <c r="BJ29" i="20"/>
  <c r="BJ55" i="20"/>
  <c r="BJ63" i="20"/>
  <c r="BJ47" i="20"/>
  <c r="BN26" i="20"/>
  <c r="BN23" i="20"/>
  <c r="BN28" i="20"/>
  <c r="BN32" i="20"/>
  <c r="BN27" i="20"/>
  <c r="BN31" i="20"/>
  <c r="BN34" i="20"/>
  <c r="BN39" i="20"/>
  <c r="BN22" i="20"/>
  <c r="BN29" i="20"/>
  <c r="BN37" i="20"/>
  <c r="BN41" i="20"/>
  <c r="BN45" i="20"/>
  <c r="BN49" i="20"/>
  <c r="BN53" i="20"/>
  <c r="BN36" i="20"/>
  <c r="BN42" i="20"/>
  <c r="BN52" i="20"/>
  <c r="BN58" i="20"/>
  <c r="BN62" i="20"/>
  <c r="BN35" i="20"/>
  <c r="BN38" i="20"/>
  <c r="BN48" i="20"/>
  <c r="BN33" i="20"/>
  <c r="BN40" i="20"/>
  <c r="BN44" i="20"/>
  <c r="BN47" i="20"/>
  <c r="BN51" i="20"/>
  <c r="BN55" i="20"/>
  <c r="BN30" i="20"/>
  <c r="BN50" i="20"/>
  <c r="BN54" i="20"/>
  <c r="BN57" i="20"/>
  <c r="BN60" i="20"/>
  <c r="BN63" i="20"/>
  <c r="BN67" i="20"/>
  <c r="BN25" i="20"/>
  <c r="BN65" i="20"/>
  <c r="BN68" i="20"/>
  <c r="BN43" i="20"/>
  <c r="BN56" i="20"/>
  <c r="BN59" i="20"/>
  <c r="BN61" i="20"/>
  <c r="BN64" i="20"/>
  <c r="BN46" i="20"/>
  <c r="BN66" i="20"/>
  <c r="BR26" i="20"/>
  <c r="BR23" i="20"/>
  <c r="BR28" i="20"/>
  <c r="BR32" i="20"/>
  <c r="BR22" i="20"/>
  <c r="BR30" i="20"/>
  <c r="BR33" i="20"/>
  <c r="BR39" i="20"/>
  <c r="BR27" i="20"/>
  <c r="BR35" i="20"/>
  <c r="BR37" i="20"/>
  <c r="BR41" i="20"/>
  <c r="BR45" i="20"/>
  <c r="BR49" i="20"/>
  <c r="BR53" i="20"/>
  <c r="BR25" i="20"/>
  <c r="BR40" i="20"/>
  <c r="BR48" i="20"/>
  <c r="BR51" i="20"/>
  <c r="BR54" i="20"/>
  <c r="BR58" i="20"/>
  <c r="BR62" i="20"/>
  <c r="BR31" i="20"/>
  <c r="BR34" i="20"/>
  <c r="BR44" i="20"/>
  <c r="BR47" i="20"/>
  <c r="BR36" i="20"/>
  <c r="BR43" i="20"/>
  <c r="BR46" i="20"/>
  <c r="BR50" i="20"/>
  <c r="BR29" i="20"/>
  <c r="BR56" i="20"/>
  <c r="BR59" i="20"/>
  <c r="BR67" i="20"/>
  <c r="BR57" i="20"/>
  <c r="BR42" i="20"/>
  <c r="BR55" i="20"/>
  <c r="BR60" i="20"/>
  <c r="BR64" i="20"/>
  <c r="BR38" i="20"/>
  <c r="BR52" i="20"/>
  <c r="BR66" i="20"/>
  <c r="BR61" i="20"/>
  <c r="BR68" i="20"/>
  <c r="BR63" i="20"/>
  <c r="BR65" i="20"/>
  <c r="BV26" i="20"/>
  <c r="BV23" i="20"/>
  <c r="BV28" i="20"/>
  <c r="BV32" i="20"/>
  <c r="BV27" i="20"/>
  <c r="BV29" i="20"/>
  <c r="BV39" i="20"/>
  <c r="BV22" i="20"/>
  <c r="BV31" i="20"/>
  <c r="BV34" i="20"/>
  <c r="BV37" i="20"/>
  <c r="BV41" i="20"/>
  <c r="BV45" i="20"/>
  <c r="BV49" i="20"/>
  <c r="BV53" i="20"/>
  <c r="BV35" i="20"/>
  <c r="BV36" i="20"/>
  <c r="BV44" i="20"/>
  <c r="BV47" i="20"/>
  <c r="BV50" i="20"/>
  <c r="BV54" i="20"/>
  <c r="BV58" i="20"/>
  <c r="BV62" i="20"/>
  <c r="BV25" i="20"/>
  <c r="BV30" i="20"/>
  <c r="BV33" i="20"/>
  <c r="BV38" i="20"/>
  <c r="BV43" i="20"/>
  <c r="BV46" i="20"/>
  <c r="BV42" i="20"/>
  <c r="BV57" i="20"/>
  <c r="BV40" i="20"/>
  <c r="BV55" i="20"/>
  <c r="BV67" i="20"/>
  <c r="BV51" i="20"/>
  <c r="BV56" i="20"/>
  <c r="BV59" i="20"/>
  <c r="BV61" i="20"/>
  <c r="BV63" i="20"/>
  <c r="BV66" i="20"/>
  <c r="BV48" i="20"/>
  <c r="BV65" i="20"/>
  <c r="BV68" i="20"/>
  <c r="BV52" i="20"/>
  <c r="BV60" i="20"/>
  <c r="BV64" i="20"/>
  <c r="BZ26" i="20"/>
  <c r="BZ23" i="20"/>
  <c r="BZ28" i="20"/>
  <c r="BZ32" i="20"/>
  <c r="BZ22" i="20"/>
  <c r="BZ35" i="20"/>
  <c r="BZ39" i="20"/>
  <c r="BZ27" i="20"/>
  <c r="BZ30" i="20"/>
  <c r="BZ33" i="20"/>
  <c r="BZ37" i="20"/>
  <c r="BZ41" i="20"/>
  <c r="BZ45" i="20"/>
  <c r="BZ49" i="20"/>
  <c r="BZ53" i="20"/>
  <c r="BZ31" i="20"/>
  <c r="BZ34" i="20"/>
  <c r="BZ40" i="20"/>
  <c r="BZ43" i="20"/>
  <c r="BZ46" i="20"/>
  <c r="BZ54" i="20"/>
  <c r="BZ58" i="20"/>
  <c r="BZ62" i="20"/>
  <c r="BZ29" i="20"/>
  <c r="BZ42" i="20"/>
  <c r="BZ56" i="20"/>
  <c r="BZ25" i="20"/>
  <c r="BZ36" i="20"/>
  <c r="BZ48" i="20"/>
  <c r="BZ61" i="20"/>
  <c r="BZ67" i="20"/>
  <c r="BZ44" i="20"/>
  <c r="BZ52" i="20"/>
  <c r="BZ55" i="20"/>
  <c r="BZ66" i="20"/>
  <c r="BZ51" i="20"/>
  <c r="BZ60" i="20"/>
  <c r="BZ65" i="20"/>
  <c r="BZ68" i="20"/>
  <c r="BZ47" i="20"/>
  <c r="BZ50" i="20"/>
  <c r="BZ64" i="20"/>
  <c r="BZ59" i="20"/>
  <c r="BZ63" i="20"/>
  <c r="BZ38" i="20"/>
  <c r="BZ57" i="20"/>
  <c r="CD26" i="20"/>
  <c r="CD23" i="20"/>
  <c r="CD28" i="20"/>
  <c r="CD32" i="20"/>
  <c r="CD27" i="20"/>
  <c r="CD31" i="20"/>
  <c r="CD34" i="20"/>
  <c r="CD35" i="20"/>
  <c r="CD39" i="20"/>
  <c r="CD22" i="20"/>
  <c r="CD29" i="20"/>
  <c r="CD37" i="20"/>
  <c r="CD41" i="20"/>
  <c r="CD45" i="20"/>
  <c r="CD49" i="20"/>
  <c r="CD53" i="20"/>
  <c r="CD30" i="20"/>
  <c r="CD33" i="20"/>
  <c r="CD36" i="20"/>
  <c r="CD42" i="20"/>
  <c r="CD52" i="20"/>
  <c r="CD54" i="20"/>
  <c r="CD58" i="20"/>
  <c r="CD62" i="20"/>
  <c r="CD38" i="20"/>
  <c r="CD48" i="20"/>
  <c r="CD55" i="20"/>
  <c r="CD44" i="20"/>
  <c r="CD47" i="20"/>
  <c r="CD57" i="20"/>
  <c r="CD60" i="20"/>
  <c r="CD63" i="20"/>
  <c r="CD67" i="20"/>
  <c r="CD43" i="20"/>
  <c r="CD65" i="20"/>
  <c r="CD68" i="20"/>
  <c r="CD25" i="20"/>
  <c r="CD59" i="20"/>
  <c r="CD64" i="20"/>
  <c r="CD40" i="20"/>
  <c r="CD51" i="20"/>
  <c r="CD46" i="20"/>
  <c r="CD61" i="20"/>
  <c r="CD66" i="20"/>
  <c r="CD50" i="20"/>
  <c r="CD56" i="20"/>
  <c r="CH26" i="20"/>
  <c r="CH23" i="20"/>
  <c r="CH28" i="20"/>
  <c r="CH32" i="20"/>
  <c r="CH22" i="20"/>
  <c r="CH30" i="20"/>
  <c r="CH33" i="20"/>
  <c r="CH35" i="20"/>
  <c r="CH39" i="20"/>
  <c r="CH27" i="20"/>
  <c r="CH37" i="20"/>
  <c r="CH41" i="20"/>
  <c r="CH45" i="20"/>
  <c r="CH49" i="20"/>
  <c r="CH53" i="20"/>
  <c r="CH25" i="20"/>
  <c r="CH29" i="20"/>
  <c r="CH48" i="20"/>
  <c r="CH51" i="20"/>
  <c r="CH54" i="20"/>
  <c r="CH58" i="20"/>
  <c r="CH62" i="20"/>
  <c r="CH44" i="20"/>
  <c r="CH47" i="20"/>
  <c r="CH36" i="20"/>
  <c r="CH40" i="20"/>
  <c r="CH43" i="20"/>
  <c r="CH46" i="20"/>
  <c r="CH52" i="20"/>
  <c r="CH56" i="20"/>
  <c r="CH59" i="20"/>
  <c r="CH67" i="20"/>
  <c r="CH34" i="20"/>
  <c r="CH38" i="20"/>
  <c r="CH42" i="20"/>
  <c r="CH50" i="20"/>
  <c r="CH61" i="20"/>
  <c r="CH63" i="20"/>
  <c r="CH64" i="20"/>
  <c r="CH31" i="20"/>
  <c r="CH60" i="20"/>
  <c r="CH66" i="20"/>
  <c r="CH57" i="20"/>
  <c r="CH65" i="20"/>
  <c r="CH68" i="20"/>
  <c r="CH55" i="20"/>
  <c r="BR70" i="20" l="1"/>
  <c r="O13" i="27" s="1"/>
  <c r="BK70" i="20"/>
  <c r="P11" i="27" s="1"/>
  <c r="BZ70" i="20"/>
  <c r="M11" i="27" s="1"/>
  <c r="BN70" i="20"/>
  <c r="P14" i="27" s="1"/>
  <c r="CA70" i="20"/>
  <c r="M12" i="27" s="1"/>
  <c r="CG70" i="20"/>
  <c r="L13" i="27" s="1"/>
  <c r="CB70" i="20"/>
  <c r="M13" i="27" s="1"/>
  <c r="CE70" i="20"/>
  <c r="L11" i="27" s="1"/>
  <c r="CF70" i="20"/>
  <c r="L12" i="27" s="1"/>
  <c r="BU70" i="20"/>
  <c r="N11" i="27" s="1"/>
  <c r="CD70" i="20"/>
  <c r="L10" i="27" s="1"/>
  <c r="BV70" i="20"/>
  <c r="N12" i="27" s="1"/>
  <c r="BQ70" i="20"/>
  <c r="O12" i="27" s="1"/>
  <c r="BL70" i="20"/>
  <c r="P12" i="27" s="1"/>
  <c r="BO70" i="20"/>
  <c r="O10" i="27" s="1"/>
  <c r="BW70" i="20"/>
  <c r="N13" i="27" s="1"/>
  <c r="CH70" i="20"/>
  <c r="L14" i="27" s="1"/>
  <c r="BJ70" i="20"/>
  <c r="P10" i="27" s="1"/>
  <c r="BX70" i="20"/>
  <c r="N14" i="27" s="1"/>
  <c r="BP70" i="20"/>
  <c r="O11" i="27" s="1"/>
  <c r="BM70" i="20"/>
  <c r="P13" i="27" s="1"/>
  <c r="BS70" i="20"/>
  <c r="O14" i="27" s="1"/>
  <c r="CC70" i="20"/>
  <c r="M14" i="27" s="1"/>
  <c r="BY70" i="20"/>
  <c r="M10" i="27" s="1"/>
  <c r="BT70" i="20"/>
  <c r="N10" i="27" s="1"/>
  <c r="BF18" i="20"/>
  <c r="BF24" i="20" s="1"/>
  <c r="BE18" i="20"/>
  <c r="BE24" i="20" s="1"/>
  <c r="BD18" i="20"/>
  <c r="BD24" i="20" s="1"/>
  <c r="BC18" i="20"/>
  <c r="BC24" i="20" s="1"/>
  <c r="BB18" i="20"/>
  <c r="BB24" i="20" s="1"/>
  <c r="BA18" i="20"/>
  <c r="BA24" i="20" s="1"/>
  <c r="AZ18" i="20"/>
  <c r="AZ24" i="20" s="1"/>
  <c r="AY18" i="20"/>
  <c r="AY24" i="20" s="1"/>
  <c r="AX18" i="20"/>
  <c r="AX24" i="20" s="1"/>
  <c r="AW18" i="20"/>
  <c r="AW24" i="20" s="1"/>
  <c r="AV18" i="20"/>
  <c r="AV24" i="20" s="1"/>
  <c r="AU18" i="20"/>
  <c r="AU24" i="20" s="1"/>
  <c r="AT18" i="20"/>
  <c r="AT24" i="20" s="1"/>
  <c r="AS18" i="20"/>
  <c r="AS24" i="20" s="1"/>
  <c r="AR18" i="20"/>
  <c r="AR24" i="20" s="1"/>
  <c r="AQ18" i="20"/>
  <c r="AQ24" i="20" s="1"/>
  <c r="AP18" i="20"/>
  <c r="AP24" i="20" s="1"/>
  <c r="AO18" i="20"/>
  <c r="AO24" i="20" s="1"/>
  <c r="AN18" i="20"/>
  <c r="AN24" i="20" s="1"/>
  <c r="AM18" i="20"/>
  <c r="AM24" i="20" s="1"/>
  <c r="AL18" i="20"/>
  <c r="AL24" i="20" s="1"/>
  <c r="AK18" i="20"/>
  <c r="AK24" i="20" s="1"/>
  <c r="AJ18" i="20"/>
  <c r="AJ24" i="20" s="1"/>
  <c r="AI18" i="20"/>
  <c r="AI24" i="20" s="1"/>
  <c r="AH18" i="20"/>
  <c r="AH24" i="20" s="1"/>
  <c r="AK19" i="20" l="1"/>
  <c r="AK20" i="20"/>
  <c r="AK21" i="20"/>
  <c r="AO19" i="20"/>
  <c r="AO20" i="20"/>
  <c r="AO21" i="20"/>
  <c r="BA19" i="20"/>
  <c r="BA20" i="20"/>
  <c r="BA21" i="20"/>
  <c r="AH19" i="20"/>
  <c r="AH20" i="20"/>
  <c r="AH21" i="20"/>
  <c r="AP19" i="20"/>
  <c r="AP20" i="20"/>
  <c r="AP21" i="20"/>
  <c r="AX19" i="20"/>
  <c r="AX20" i="20"/>
  <c r="AX21" i="20"/>
  <c r="AI20" i="20"/>
  <c r="AI21" i="20"/>
  <c r="AI19" i="20"/>
  <c r="AQ20" i="20"/>
  <c r="AQ21" i="20"/>
  <c r="AQ19" i="20"/>
  <c r="AJ20" i="20"/>
  <c r="AJ21" i="20"/>
  <c r="AJ19" i="20"/>
  <c r="AN20" i="20"/>
  <c r="AN21" i="20"/>
  <c r="AN19" i="20"/>
  <c r="AR20" i="20"/>
  <c r="AR21" i="20"/>
  <c r="AR19" i="20"/>
  <c r="AV20" i="20"/>
  <c r="AV21" i="20"/>
  <c r="AV19" i="20"/>
  <c r="AZ20" i="20"/>
  <c r="AZ21" i="20"/>
  <c r="AZ19" i="20"/>
  <c r="BD20" i="20"/>
  <c r="BD21" i="20"/>
  <c r="BD19" i="20"/>
  <c r="AS19" i="20"/>
  <c r="AS20" i="20"/>
  <c r="AS21" i="20"/>
  <c r="AW19" i="20"/>
  <c r="AW20" i="20"/>
  <c r="AW21" i="20"/>
  <c r="BE19" i="20"/>
  <c r="BE20" i="20"/>
  <c r="BE21" i="20"/>
  <c r="AL19" i="20"/>
  <c r="AL20" i="20"/>
  <c r="AL21" i="20"/>
  <c r="AT19" i="20"/>
  <c r="AT20" i="20"/>
  <c r="AT21" i="20"/>
  <c r="BB19" i="20"/>
  <c r="BB20" i="20"/>
  <c r="BB21" i="20"/>
  <c r="BF19" i="20"/>
  <c r="BF20" i="20"/>
  <c r="BF21" i="20"/>
  <c r="AM20" i="20"/>
  <c r="AM21" i="20"/>
  <c r="AM19" i="20"/>
  <c r="AU20" i="20"/>
  <c r="AU21" i="20"/>
  <c r="AU19" i="20"/>
  <c r="AY20" i="20"/>
  <c r="AY21" i="20"/>
  <c r="AY19" i="20"/>
  <c r="BC20" i="20"/>
  <c r="BC21" i="20"/>
  <c r="BC19" i="20"/>
  <c r="AI27" i="20"/>
  <c r="AI31" i="20"/>
  <c r="AI35" i="20"/>
  <c r="AI39" i="20"/>
  <c r="AI43" i="20"/>
  <c r="AI47" i="20"/>
  <c r="AI51" i="20"/>
  <c r="AI55" i="20"/>
  <c r="AI59" i="20"/>
  <c r="AI28" i="20"/>
  <c r="AI32" i="20"/>
  <c r="AI25" i="20"/>
  <c r="AI33" i="20"/>
  <c r="AI37" i="20"/>
  <c r="AI40" i="20"/>
  <c r="AI50" i="20"/>
  <c r="AI53" i="20"/>
  <c r="AI56" i="20"/>
  <c r="AI60" i="20"/>
  <c r="AI23" i="20"/>
  <c r="AI29" i="20"/>
  <c r="AI42" i="20"/>
  <c r="AI45" i="20"/>
  <c r="AI48" i="20"/>
  <c r="AI58" i="20"/>
  <c r="AI62" i="20"/>
  <c r="AI66" i="20"/>
  <c r="AI30" i="20"/>
  <c r="AI38" i="20"/>
  <c r="AI41" i="20"/>
  <c r="AI44" i="20"/>
  <c r="AI61" i="20"/>
  <c r="AI54" i="20"/>
  <c r="AI65" i="20"/>
  <c r="AI68" i="20"/>
  <c r="AI46" i="20"/>
  <c r="AI52" i="20"/>
  <c r="AI22" i="20"/>
  <c r="AI26" i="20"/>
  <c r="AI34" i="20"/>
  <c r="AI36" i="20"/>
  <c r="AI57" i="20"/>
  <c r="AI63" i="20"/>
  <c r="AI49" i="20"/>
  <c r="AI64" i="20"/>
  <c r="AI67" i="20"/>
  <c r="AM27" i="20"/>
  <c r="AM31" i="20"/>
  <c r="AM35" i="20"/>
  <c r="AM39" i="20"/>
  <c r="AM43" i="20"/>
  <c r="AM47" i="20"/>
  <c r="AM51" i="20"/>
  <c r="AM55" i="20"/>
  <c r="AM59" i="20"/>
  <c r="AM23" i="20"/>
  <c r="AM28" i="20"/>
  <c r="AM32" i="20"/>
  <c r="AM29" i="20"/>
  <c r="AM36" i="20"/>
  <c r="AM46" i="20"/>
  <c r="AM49" i="20"/>
  <c r="AM52" i="20"/>
  <c r="AM60" i="20"/>
  <c r="AM22" i="20"/>
  <c r="AM25" i="20"/>
  <c r="AM33" i="20"/>
  <c r="AM38" i="20"/>
  <c r="AM41" i="20"/>
  <c r="AM44" i="20"/>
  <c r="AM54" i="20"/>
  <c r="AM57" i="20"/>
  <c r="AM62" i="20"/>
  <c r="AM66" i="20"/>
  <c r="AM26" i="20"/>
  <c r="AM37" i="20"/>
  <c r="AM40" i="20"/>
  <c r="AM63" i="20"/>
  <c r="AM65" i="20"/>
  <c r="AM68" i="20"/>
  <c r="AM50" i="20"/>
  <c r="AM56" i="20"/>
  <c r="AM64" i="20"/>
  <c r="AM42" i="20"/>
  <c r="AM48" i="20"/>
  <c r="AM61" i="20"/>
  <c r="AM30" i="20"/>
  <c r="AM58" i="20"/>
  <c r="AM34" i="20"/>
  <c r="AM53" i="20"/>
  <c r="AM67" i="20"/>
  <c r="AM45" i="20"/>
  <c r="AQ23" i="20"/>
  <c r="AQ27" i="20"/>
  <c r="AQ31" i="20"/>
  <c r="AQ35" i="20"/>
  <c r="AQ39" i="20"/>
  <c r="AQ43" i="20"/>
  <c r="AQ47" i="20"/>
  <c r="AQ51" i="20"/>
  <c r="AQ55" i="20"/>
  <c r="AQ22" i="20"/>
  <c r="AQ28" i="20"/>
  <c r="AQ32" i="20"/>
  <c r="AQ25" i="20"/>
  <c r="AQ33" i="20"/>
  <c r="AQ42" i="20"/>
  <c r="AQ45" i="20"/>
  <c r="AQ48" i="20"/>
  <c r="AQ58" i="20"/>
  <c r="AQ60" i="20"/>
  <c r="AQ29" i="20"/>
  <c r="AQ37" i="20"/>
  <c r="AQ40" i="20"/>
  <c r="AQ50" i="20"/>
  <c r="AQ53" i="20"/>
  <c r="AQ56" i="20"/>
  <c r="AQ62" i="20"/>
  <c r="AQ66" i="20"/>
  <c r="AQ36" i="20"/>
  <c r="AQ59" i="20"/>
  <c r="AQ65" i="20"/>
  <c r="AQ68" i="20"/>
  <c r="AQ57" i="20"/>
  <c r="AQ61" i="20"/>
  <c r="AQ64" i="20"/>
  <c r="AQ67" i="20"/>
  <c r="AQ26" i="20"/>
  <c r="AQ46" i="20"/>
  <c r="AQ52" i="20"/>
  <c r="AQ63" i="20"/>
  <c r="AQ34" i="20"/>
  <c r="AQ38" i="20"/>
  <c r="AQ41" i="20"/>
  <c r="AQ44" i="20"/>
  <c r="AQ54" i="20"/>
  <c r="AQ30" i="20"/>
  <c r="AQ49" i="20"/>
  <c r="AU22" i="20"/>
  <c r="AU27" i="20"/>
  <c r="AU31" i="20"/>
  <c r="AU35" i="20"/>
  <c r="AU39" i="20"/>
  <c r="AU43" i="20"/>
  <c r="AU47" i="20"/>
  <c r="AU51" i="20"/>
  <c r="AU55" i="20"/>
  <c r="AU28" i="20"/>
  <c r="AU32" i="20"/>
  <c r="AU29" i="20"/>
  <c r="AU38" i="20"/>
  <c r="AU41" i="20"/>
  <c r="AU44" i="20"/>
  <c r="AU54" i="20"/>
  <c r="AU57" i="20"/>
  <c r="AU60" i="20"/>
  <c r="AU25" i="20"/>
  <c r="AU33" i="20"/>
  <c r="AU36" i="20"/>
  <c r="AU46" i="20"/>
  <c r="AU49" i="20"/>
  <c r="AU52" i="20"/>
  <c r="AU62" i="20"/>
  <c r="AU66" i="20"/>
  <c r="AU23" i="20"/>
  <c r="AU26" i="20"/>
  <c r="AU34" i="20"/>
  <c r="AU58" i="20"/>
  <c r="AU63" i="20"/>
  <c r="AU64" i="20"/>
  <c r="AU67" i="20"/>
  <c r="AU56" i="20"/>
  <c r="AU42" i="20"/>
  <c r="AU48" i="20"/>
  <c r="AU59" i="20"/>
  <c r="AU30" i="20"/>
  <c r="AU37" i="20"/>
  <c r="AU61" i="20"/>
  <c r="AU50" i="20"/>
  <c r="AU53" i="20"/>
  <c r="AU45" i="20"/>
  <c r="AU40" i="20"/>
  <c r="AU65" i="20"/>
  <c r="AU68" i="20"/>
  <c r="AY27" i="20"/>
  <c r="AY31" i="20"/>
  <c r="AY35" i="20"/>
  <c r="AY39" i="20"/>
  <c r="AY43" i="20"/>
  <c r="AY47" i="20"/>
  <c r="AY51" i="20"/>
  <c r="AY55" i="20"/>
  <c r="AY28" i="20"/>
  <c r="AY32" i="20"/>
  <c r="AY23" i="20"/>
  <c r="AY25" i="20"/>
  <c r="AY33" i="20"/>
  <c r="AY37" i="20"/>
  <c r="AY40" i="20"/>
  <c r="AY50" i="20"/>
  <c r="AY53" i="20"/>
  <c r="AY56" i="20"/>
  <c r="AY60" i="20"/>
  <c r="AY29" i="20"/>
  <c r="AY42" i="20"/>
  <c r="AY45" i="20"/>
  <c r="AY48" i="20"/>
  <c r="AY58" i="20"/>
  <c r="AY62" i="20"/>
  <c r="AY66" i="20"/>
  <c r="AY22" i="20"/>
  <c r="AY30" i="20"/>
  <c r="AY54" i="20"/>
  <c r="AY57" i="20"/>
  <c r="AY59" i="20"/>
  <c r="AY61" i="20"/>
  <c r="AY38" i="20"/>
  <c r="AY41" i="20"/>
  <c r="AY44" i="20"/>
  <c r="AY63" i="20"/>
  <c r="AY65" i="20"/>
  <c r="AY68" i="20"/>
  <c r="AY34" i="20"/>
  <c r="AY46" i="20"/>
  <c r="AY49" i="20"/>
  <c r="AY52" i="20"/>
  <c r="AY26" i="20"/>
  <c r="AY36" i="20"/>
  <c r="AY64" i="20"/>
  <c r="AY67" i="20"/>
  <c r="BC27" i="20"/>
  <c r="BC31" i="20"/>
  <c r="BC35" i="20"/>
  <c r="BC39" i="20"/>
  <c r="BC43" i="20"/>
  <c r="BC47" i="20"/>
  <c r="BC51" i="20"/>
  <c r="BC55" i="20"/>
  <c r="BC23" i="20"/>
  <c r="BC28" i="20"/>
  <c r="BC32" i="20"/>
  <c r="BC22" i="20"/>
  <c r="BC29" i="20"/>
  <c r="BC36" i="20"/>
  <c r="BC46" i="20"/>
  <c r="BC49" i="20"/>
  <c r="BC52" i="20"/>
  <c r="BC60" i="20"/>
  <c r="BC25" i="20"/>
  <c r="BC33" i="20"/>
  <c r="BC38" i="20"/>
  <c r="BC41" i="20"/>
  <c r="BC44" i="20"/>
  <c r="BC54" i="20"/>
  <c r="BC57" i="20"/>
  <c r="BC62" i="20"/>
  <c r="BC66" i="20"/>
  <c r="BC26" i="20"/>
  <c r="BC50" i="20"/>
  <c r="BC53" i="20"/>
  <c r="BC56" i="20"/>
  <c r="BC63" i="20"/>
  <c r="BC65" i="20"/>
  <c r="BC68" i="20"/>
  <c r="BC34" i="20"/>
  <c r="BC37" i="20"/>
  <c r="BC64" i="20"/>
  <c r="BC30" i="20"/>
  <c r="BC42" i="20"/>
  <c r="BC45" i="20"/>
  <c r="BC48" i="20"/>
  <c r="BC40" i="20"/>
  <c r="BC59" i="20"/>
  <c r="BC67" i="20"/>
  <c r="BC58" i="20"/>
  <c r="BC61" i="20"/>
  <c r="AJ23" i="20"/>
  <c r="AJ22" i="20"/>
  <c r="AJ26" i="20"/>
  <c r="AJ30" i="20"/>
  <c r="AJ34" i="20"/>
  <c r="AJ38" i="20"/>
  <c r="AJ42" i="20"/>
  <c r="AJ46" i="20"/>
  <c r="AJ50" i="20"/>
  <c r="AJ54" i="20"/>
  <c r="AJ58" i="20"/>
  <c r="AJ27" i="20"/>
  <c r="AJ31" i="20"/>
  <c r="AJ32" i="20"/>
  <c r="AJ41" i="20"/>
  <c r="AJ44" i="20"/>
  <c r="AJ47" i="20"/>
  <c r="AJ57" i="20"/>
  <c r="AJ63" i="20"/>
  <c r="AJ28" i="20"/>
  <c r="AJ36" i="20"/>
  <c r="AJ39" i="20"/>
  <c r="AJ49" i="20"/>
  <c r="AJ52" i="20"/>
  <c r="AJ55" i="20"/>
  <c r="AJ61" i="20"/>
  <c r="AJ65" i="20"/>
  <c r="AJ35" i="20"/>
  <c r="AJ64" i="20"/>
  <c r="AJ67" i="20"/>
  <c r="AJ59" i="20"/>
  <c r="AJ60" i="20"/>
  <c r="AJ66" i="20"/>
  <c r="AJ29" i="20"/>
  <c r="AJ45" i="20"/>
  <c r="AJ51" i="20"/>
  <c r="AJ62" i="20"/>
  <c r="AJ33" i="20"/>
  <c r="AJ37" i="20"/>
  <c r="AJ40" i="20"/>
  <c r="AJ43" i="20"/>
  <c r="AJ53" i="20"/>
  <c r="AJ56" i="20"/>
  <c r="AJ25" i="20"/>
  <c r="AJ48" i="20"/>
  <c r="AJ68" i="20"/>
  <c r="AN23" i="20"/>
  <c r="AN26" i="20"/>
  <c r="AN30" i="20"/>
  <c r="AN34" i="20"/>
  <c r="AN38" i="20"/>
  <c r="AN42" i="20"/>
  <c r="AN46" i="20"/>
  <c r="AN50" i="20"/>
  <c r="AN54" i="20"/>
  <c r="AN58" i="20"/>
  <c r="AN27" i="20"/>
  <c r="AN31" i="20"/>
  <c r="AN28" i="20"/>
  <c r="AN37" i="20"/>
  <c r="AN40" i="20"/>
  <c r="AN43" i="20"/>
  <c r="AN53" i="20"/>
  <c r="AN56" i="20"/>
  <c r="AN59" i="20"/>
  <c r="AN63" i="20"/>
  <c r="AN32" i="20"/>
  <c r="AN35" i="20"/>
  <c r="AN45" i="20"/>
  <c r="AN48" i="20"/>
  <c r="AN51" i="20"/>
  <c r="AN61" i="20"/>
  <c r="AN65" i="20"/>
  <c r="AN22" i="20"/>
  <c r="AN25" i="20"/>
  <c r="AN33" i="20"/>
  <c r="AN57" i="20"/>
  <c r="AN62" i="20"/>
  <c r="AN66" i="20"/>
  <c r="AN55" i="20"/>
  <c r="AN41" i="20"/>
  <c r="AN47" i="20"/>
  <c r="AN68" i="20"/>
  <c r="AN29" i="20"/>
  <c r="AN36" i="20"/>
  <c r="AN60" i="20"/>
  <c r="AN64" i="20"/>
  <c r="AN49" i="20"/>
  <c r="AN52" i="20"/>
  <c r="AN44" i="20"/>
  <c r="AN39" i="20"/>
  <c r="AN67" i="20"/>
  <c r="AR23" i="20"/>
  <c r="AR26" i="20"/>
  <c r="AR30" i="20"/>
  <c r="AR34" i="20"/>
  <c r="AR38" i="20"/>
  <c r="AR42" i="20"/>
  <c r="AR46" i="20"/>
  <c r="AR50" i="20"/>
  <c r="AR54" i="20"/>
  <c r="AR58" i="20"/>
  <c r="AR27" i="20"/>
  <c r="AR31" i="20"/>
  <c r="AR22" i="20"/>
  <c r="AR32" i="20"/>
  <c r="AR36" i="20"/>
  <c r="AR39" i="20"/>
  <c r="AR49" i="20"/>
  <c r="AR52" i="20"/>
  <c r="AR55" i="20"/>
  <c r="AR59" i="20"/>
  <c r="AR63" i="20"/>
  <c r="AR28" i="20"/>
  <c r="AR41" i="20"/>
  <c r="AR44" i="20"/>
  <c r="AR47" i="20"/>
  <c r="AR57" i="20"/>
  <c r="AR61" i="20"/>
  <c r="AR65" i="20"/>
  <c r="AR29" i="20"/>
  <c r="AR53" i="20"/>
  <c r="AR56" i="20"/>
  <c r="AR60" i="20"/>
  <c r="AR68" i="20"/>
  <c r="AR37" i="20"/>
  <c r="AR40" i="20"/>
  <c r="AR62" i="20"/>
  <c r="AR64" i="20"/>
  <c r="AR67" i="20"/>
  <c r="AR25" i="20"/>
  <c r="AR33" i="20"/>
  <c r="AR45" i="20"/>
  <c r="AR48" i="20"/>
  <c r="AR51" i="20"/>
  <c r="AR43" i="20"/>
  <c r="AR35" i="20"/>
  <c r="AR66" i="20"/>
  <c r="AV23" i="20"/>
  <c r="AV26" i="20"/>
  <c r="AV30" i="20"/>
  <c r="AV34" i="20"/>
  <c r="AV38" i="20"/>
  <c r="AV42" i="20"/>
  <c r="AV46" i="20"/>
  <c r="AV50" i="20"/>
  <c r="AV54" i="20"/>
  <c r="AV58" i="20"/>
  <c r="AV22" i="20"/>
  <c r="AV27" i="20"/>
  <c r="AV31" i="20"/>
  <c r="AV28" i="20"/>
  <c r="AV35" i="20"/>
  <c r="AV45" i="20"/>
  <c r="AV48" i="20"/>
  <c r="AV51" i="20"/>
  <c r="AV59" i="20"/>
  <c r="AV63" i="20"/>
  <c r="AV32" i="20"/>
  <c r="AV37" i="20"/>
  <c r="AV40" i="20"/>
  <c r="AV43" i="20"/>
  <c r="AV53" i="20"/>
  <c r="AV56" i="20"/>
  <c r="AV61" i="20"/>
  <c r="AV65" i="20"/>
  <c r="AV25" i="20"/>
  <c r="AV49" i="20"/>
  <c r="AV52" i="20"/>
  <c r="AV55" i="20"/>
  <c r="AV62" i="20"/>
  <c r="AV68" i="20"/>
  <c r="AV64" i="20"/>
  <c r="AV67" i="20"/>
  <c r="AV33" i="20"/>
  <c r="AV36" i="20"/>
  <c r="AV60" i="20"/>
  <c r="AV29" i="20"/>
  <c r="AV41" i="20"/>
  <c r="AV44" i="20"/>
  <c r="AV47" i="20"/>
  <c r="AV39" i="20"/>
  <c r="AV66" i="20"/>
  <c r="AV57" i="20"/>
  <c r="AZ23" i="20"/>
  <c r="AZ22" i="20"/>
  <c r="AZ26" i="20"/>
  <c r="AZ30" i="20"/>
  <c r="AZ34" i="20"/>
  <c r="AZ38" i="20"/>
  <c r="AZ42" i="20"/>
  <c r="AZ46" i="20"/>
  <c r="AZ50" i="20"/>
  <c r="AZ54" i="20"/>
  <c r="AZ58" i="20"/>
  <c r="AZ27" i="20"/>
  <c r="AZ31" i="20"/>
  <c r="AZ32" i="20"/>
  <c r="AZ41" i="20"/>
  <c r="AZ44" i="20"/>
  <c r="AZ47" i="20"/>
  <c r="AZ57" i="20"/>
  <c r="AZ59" i="20"/>
  <c r="AZ63" i="20"/>
  <c r="AZ28" i="20"/>
  <c r="AZ36" i="20"/>
  <c r="AZ39" i="20"/>
  <c r="AZ49" i="20"/>
  <c r="AZ52" i="20"/>
  <c r="AZ55" i="20"/>
  <c r="AZ61" i="20"/>
  <c r="AZ65" i="20"/>
  <c r="AZ25" i="20"/>
  <c r="AZ45" i="20"/>
  <c r="AZ48" i="20"/>
  <c r="AZ51" i="20"/>
  <c r="AZ64" i="20"/>
  <c r="AZ67" i="20"/>
  <c r="AZ66" i="20"/>
  <c r="AZ29" i="20"/>
  <c r="AZ62" i="20"/>
  <c r="AZ56" i="20"/>
  <c r="AZ37" i="20"/>
  <c r="AZ40" i="20"/>
  <c r="AZ43" i="20"/>
  <c r="AZ60" i="20"/>
  <c r="AZ35" i="20"/>
  <c r="AZ33" i="20"/>
  <c r="AZ53" i="20"/>
  <c r="AZ68" i="20"/>
  <c r="BD26" i="20"/>
  <c r="BD30" i="20"/>
  <c r="BD34" i="20"/>
  <c r="BD38" i="20"/>
  <c r="BD42" i="20"/>
  <c r="BD46" i="20"/>
  <c r="BD50" i="20"/>
  <c r="BD54" i="20"/>
  <c r="BD58" i="20"/>
  <c r="BD27" i="20"/>
  <c r="BD31" i="20"/>
  <c r="BD28" i="20"/>
  <c r="BD37" i="20"/>
  <c r="BD40" i="20"/>
  <c r="BD43" i="20"/>
  <c r="BD53" i="20"/>
  <c r="BD56" i="20"/>
  <c r="BD59" i="20"/>
  <c r="BD63" i="20"/>
  <c r="BD23" i="20"/>
  <c r="BD32" i="20"/>
  <c r="BD35" i="20"/>
  <c r="BD45" i="20"/>
  <c r="BD48" i="20"/>
  <c r="BD51" i="20"/>
  <c r="BD61" i="20"/>
  <c r="BD65" i="20"/>
  <c r="BD25" i="20"/>
  <c r="BD33" i="20"/>
  <c r="BD41" i="20"/>
  <c r="BD44" i="20"/>
  <c r="BD47" i="20"/>
  <c r="BD62" i="20"/>
  <c r="BD66" i="20"/>
  <c r="BD57" i="20"/>
  <c r="BD68" i="20"/>
  <c r="BD22" i="20"/>
  <c r="BD49" i="20"/>
  <c r="BD52" i="20"/>
  <c r="BD55" i="20"/>
  <c r="BD36" i="20"/>
  <c r="BD39" i="20"/>
  <c r="BD29" i="20"/>
  <c r="BD60" i="20"/>
  <c r="BD67" i="20"/>
  <c r="BD64" i="20"/>
  <c r="AK22" i="20"/>
  <c r="AK25" i="20"/>
  <c r="AK29" i="20"/>
  <c r="AK33" i="20"/>
  <c r="AK37" i="20"/>
  <c r="AK41" i="20"/>
  <c r="AK45" i="20"/>
  <c r="AK49" i="20"/>
  <c r="AK53" i="20"/>
  <c r="AK57" i="20"/>
  <c r="AK26" i="20"/>
  <c r="AK30" i="20"/>
  <c r="AK34" i="20"/>
  <c r="AK31" i="20"/>
  <c r="AK35" i="20"/>
  <c r="AK38" i="20"/>
  <c r="AK48" i="20"/>
  <c r="AK51" i="20"/>
  <c r="AK54" i="20"/>
  <c r="AK62" i="20"/>
  <c r="AK27" i="20"/>
  <c r="AK40" i="20"/>
  <c r="AK43" i="20"/>
  <c r="AK46" i="20"/>
  <c r="AK56" i="20"/>
  <c r="AK59" i="20"/>
  <c r="AK60" i="20"/>
  <c r="AK64" i="20"/>
  <c r="AK68" i="20"/>
  <c r="AK23" i="20"/>
  <c r="AK28" i="20"/>
  <c r="AK52" i="20"/>
  <c r="AK55" i="20"/>
  <c r="AK58" i="20"/>
  <c r="AK36" i="20"/>
  <c r="AK39" i="20"/>
  <c r="AK61" i="20"/>
  <c r="AK66" i="20"/>
  <c r="AK32" i="20"/>
  <c r="AK44" i="20"/>
  <c r="AK47" i="20"/>
  <c r="AK50" i="20"/>
  <c r="AK67" i="20"/>
  <c r="AK42" i="20"/>
  <c r="AK63" i="20"/>
  <c r="AK65" i="20"/>
  <c r="AO22" i="20"/>
  <c r="AO25" i="20"/>
  <c r="AO29" i="20"/>
  <c r="AO33" i="20"/>
  <c r="AO37" i="20"/>
  <c r="AO41" i="20"/>
  <c r="AO45" i="20"/>
  <c r="AO49" i="20"/>
  <c r="AO53" i="20"/>
  <c r="AO57" i="20"/>
  <c r="AO26" i="20"/>
  <c r="AO30" i="20"/>
  <c r="AO34" i="20"/>
  <c r="AO23" i="20"/>
  <c r="AO27" i="20"/>
  <c r="AO44" i="20"/>
  <c r="AO47" i="20"/>
  <c r="AO50" i="20"/>
  <c r="AO62" i="20"/>
  <c r="AO31" i="20"/>
  <c r="AO36" i="20"/>
  <c r="AO39" i="20"/>
  <c r="AO42" i="20"/>
  <c r="AO52" i="20"/>
  <c r="AO55" i="20"/>
  <c r="AO58" i="20"/>
  <c r="AO60" i="20"/>
  <c r="AO64" i="20"/>
  <c r="AO68" i="20"/>
  <c r="AO48" i="20"/>
  <c r="AO51" i="20"/>
  <c r="AO54" i="20"/>
  <c r="AO61" i="20"/>
  <c r="AO67" i="20"/>
  <c r="AO66" i="20"/>
  <c r="AO35" i="20"/>
  <c r="AO59" i="20"/>
  <c r="AO28" i="20"/>
  <c r="AO40" i="20"/>
  <c r="AO43" i="20"/>
  <c r="AO46" i="20"/>
  <c r="AO63" i="20"/>
  <c r="AO32" i="20"/>
  <c r="AO38" i="20"/>
  <c r="AO65" i="20"/>
  <c r="AO56" i="20"/>
  <c r="AS22" i="20"/>
  <c r="AS25" i="20"/>
  <c r="AS29" i="20"/>
  <c r="AS33" i="20"/>
  <c r="AS37" i="20"/>
  <c r="AS41" i="20"/>
  <c r="AS45" i="20"/>
  <c r="AS49" i="20"/>
  <c r="AS53" i="20"/>
  <c r="AS57" i="20"/>
  <c r="AS23" i="20"/>
  <c r="AS26" i="20"/>
  <c r="AS30" i="20"/>
  <c r="AS34" i="20"/>
  <c r="AS31" i="20"/>
  <c r="AS40" i="20"/>
  <c r="AS43" i="20"/>
  <c r="AS46" i="20"/>
  <c r="AS56" i="20"/>
  <c r="AS62" i="20"/>
  <c r="AS27" i="20"/>
  <c r="AS35" i="20"/>
  <c r="AS38" i="20"/>
  <c r="AS48" i="20"/>
  <c r="AS51" i="20"/>
  <c r="AS54" i="20"/>
  <c r="AS60" i="20"/>
  <c r="AS64" i="20"/>
  <c r="AS68" i="20"/>
  <c r="AS44" i="20"/>
  <c r="AS47" i="20"/>
  <c r="AS50" i="20"/>
  <c r="AS66" i="20"/>
  <c r="AS65" i="20"/>
  <c r="AS61" i="20"/>
  <c r="AS32" i="20"/>
  <c r="AS55" i="20"/>
  <c r="AS58" i="20"/>
  <c r="AS63" i="20"/>
  <c r="AS36" i="20"/>
  <c r="AS39" i="20"/>
  <c r="AS42" i="20"/>
  <c r="AS59" i="20"/>
  <c r="AS28" i="20"/>
  <c r="AS52" i="20"/>
  <c r="AS67" i="20"/>
  <c r="AW22" i="20"/>
  <c r="AW23" i="20"/>
  <c r="AW25" i="20"/>
  <c r="AW29" i="20"/>
  <c r="AW33" i="20"/>
  <c r="AW37" i="20"/>
  <c r="AW41" i="20"/>
  <c r="AW45" i="20"/>
  <c r="AW49" i="20"/>
  <c r="AW53" i="20"/>
  <c r="AW57" i="20"/>
  <c r="AW26" i="20"/>
  <c r="AW30" i="20"/>
  <c r="AW34" i="20"/>
  <c r="AW27" i="20"/>
  <c r="AW36" i="20"/>
  <c r="AW39" i="20"/>
  <c r="AW42" i="20"/>
  <c r="AW52" i="20"/>
  <c r="AW55" i="20"/>
  <c r="AW58" i="20"/>
  <c r="AW62" i="20"/>
  <c r="AW31" i="20"/>
  <c r="AW44" i="20"/>
  <c r="AW47" i="20"/>
  <c r="AW50" i="20"/>
  <c r="AW60" i="20"/>
  <c r="AW64" i="20"/>
  <c r="AW68" i="20"/>
  <c r="AW32" i="20"/>
  <c r="AW40" i="20"/>
  <c r="AW43" i="20"/>
  <c r="AW46" i="20"/>
  <c r="AW61" i="20"/>
  <c r="AW65" i="20"/>
  <c r="AW63" i="20"/>
  <c r="AW56" i="20"/>
  <c r="AW67" i="20"/>
  <c r="AW28" i="20"/>
  <c r="AW48" i="20"/>
  <c r="AW54" i="20"/>
  <c r="AW59" i="20"/>
  <c r="AW35" i="20"/>
  <c r="AW38" i="20"/>
  <c r="AW51" i="20"/>
  <c r="AW66" i="20"/>
  <c r="BA22" i="20"/>
  <c r="BA25" i="20"/>
  <c r="BA29" i="20"/>
  <c r="BA33" i="20"/>
  <c r="BA37" i="20"/>
  <c r="BA41" i="20"/>
  <c r="BA45" i="20"/>
  <c r="BA49" i="20"/>
  <c r="BA53" i="20"/>
  <c r="BA57" i="20"/>
  <c r="BA26" i="20"/>
  <c r="BA30" i="20"/>
  <c r="BA34" i="20"/>
  <c r="BA31" i="20"/>
  <c r="BA35" i="20"/>
  <c r="BA38" i="20"/>
  <c r="BA48" i="20"/>
  <c r="BA51" i="20"/>
  <c r="BA54" i="20"/>
  <c r="BA62" i="20"/>
  <c r="BA27" i="20"/>
  <c r="BA40" i="20"/>
  <c r="BA43" i="20"/>
  <c r="BA46" i="20"/>
  <c r="BA56" i="20"/>
  <c r="BA60" i="20"/>
  <c r="BA64" i="20"/>
  <c r="BA68" i="20"/>
  <c r="BA28" i="20"/>
  <c r="BA36" i="20"/>
  <c r="BA39" i="20"/>
  <c r="BA42" i="20"/>
  <c r="BA59" i="20"/>
  <c r="BA67" i="20"/>
  <c r="BA52" i="20"/>
  <c r="BA66" i="20"/>
  <c r="BA44" i="20"/>
  <c r="BA50" i="20"/>
  <c r="BA63" i="20"/>
  <c r="BA23" i="20"/>
  <c r="BA32" i="20"/>
  <c r="BA55" i="20"/>
  <c r="BA58" i="20"/>
  <c r="BA61" i="20"/>
  <c r="BA47" i="20"/>
  <c r="BA65" i="20"/>
  <c r="BE22" i="20"/>
  <c r="BE25" i="20"/>
  <c r="BE29" i="20"/>
  <c r="BE33" i="20"/>
  <c r="BE37" i="20"/>
  <c r="BE41" i="20"/>
  <c r="BE45" i="20"/>
  <c r="BE49" i="20"/>
  <c r="BE53" i="20"/>
  <c r="BE57" i="20"/>
  <c r="BE26" i="20"/>
  <c r="BE30" i="20"/>
  <c r="BE27" i="20"/>
  <c r="BE34" i="20"/>
  <c r="BE44" i="20"/>
  <c r="BE47" i="20"/>
  <c r="BE50" i="20"/>
  <c r="BE62" i="20"/>
  <c r="BE31" i="20"/>
  <c r="BE36" i="20"/>
  <c r="BE39" i="20"/>
  <c r="BE42" i="20"/>
  <c r="BE52" i="20"/>
  <c r="BE55" i="20"/>
  <c r="BE58" i="20"/>
  <c r="BE60" i="20"/>
  <c r="BE64" i="20"/>
  <c r="BE68" i="20"/>
  <c r="BE23" i="20"/>
  <c r="BE35" i="20"/>
  <c r="BE38" i="20"/>
  <c r="BE61" i="20"/>
  <c r="BE67" i="20"/>
  <c r="BE63" i="20"/>
  <c r="BE66" i="20"/>
  <c r="BE32" i="20"/>
  <c r="BE48" i="20"/>
  <c r="BE54" i="20"/>
  <c r="BE40" i="20"/>
  <c r="BE46" i="20"/>
  <c r="BE28" i="20"/>
  <c r="BE56" i="20"/>
  <c r="BE51" i="20"/>
  <c r="BE65" i="20"/>
  <c r="BE43" i="20"/>
  <c r="BE59" i="20"/>
  <c r="AH28" i="20"/>
  <c r="AH32" i="20"/>
  <c r="AH36" i="20"/>
  <c r="AH40" i="20"/>
  <c r="AH44" i="20"/>
  <c r="AH48" i="20"/>
  <c r="AH52" i="20"/>
  <c r="AH56" i="20"/>
  <c r="AH23" i="20"/>
  <c r="AH25" i="20"/>
  <c r="AH29" i="20"/>
  <c r="AH33" i="20"/>
  <c r="AH22" i="20"/>
  <c r="AH26" i="20"/>
  <c r="AH34" i="20"/>
  <c r="AH43" i="20"/>
  <c r="AH46" i="20"/>
  <c r="AH49" i="20"/>
  <c r="AH59" i="20"/>
  <c r="AH61" i="20"/>
  <c r="AH30" i="20"/>
  <c r="AH35" i="20"/>
  <c r="AH38" i="20"/>
  <c r="AH41" i="20"/>
  <c r="AH51" i="20"/>
  <c r="AH54" i="20"/>
  <c r="AH57" i="20"/>
  <c r="AH63" i="20"/>
  <c r="AH67" i="20"/>
  <c r="AH27" i="20"/>
  <c r="AH47" i="20"/>
  <c r="AH50" i="20"/>
  <c r="AH53" i="20"/>
  <c r="AH60" i="20"/>
  <c r="AH66" i="20"/>
  <c r="AH31" i="20"/>
  <c r="AH58" i="20"/>
  <c r="AH39" i="20"/>
  <c r="AH42" i="20"/>
  <c r="AH45" i="20"/>
  <c r="AH62" i="20"/>
  <c r="AH65" i="20"/>
  <c r="AH68" i="20"/>
  <c r="AH37" i="20"/>
  <c r="AH64" i="20"/>
  <c r="AH55" i="20"/>
  <c r="AL23" i="20"/>
  <c r="AL28" i="20"/>
  <c r="AL32" i="20"/>
  <c r="AL36" i="20"/>
  <c r="AL40" i="20"/>
  <c r="AL44" i="20"/>
  <c r="AL48" i="20"/>
  <c r="AL52" i="20"/>
  <c r="AL56" i="20"/>
  <c r="AL22" i="20"/>
  <c r="AL25" i="20"/>
  <c r="AL29" i="20"/>
  <c r="AL33" i="20"/>
  <c r="AL30" i="20"/>
  <c r="AL39" i="20"/>
  <c r="AL42" i="20"/>
  <c r="AL45" i="20"/>
  <c r="AL55" i="20"/>
  <c r="AL58" i="20"/>
  <c r="AL61" i="20"/>
  <c r="AL26" i="20"/>
  <c r="AL34" i="20"/>
  <c r="AL37" i="20"/>
  <c r="AL47" i="20"/>
  <c r="AL50" i="20"/>
  <c r="AL53" i="20"/>
  <c r="AL63" i="20"/>
  <c r="AL67" i="20"/>
  <c r="AL27" i="20"/>
  <c r="AL43" i="20"/>
  <c r="AL46" i="20"/>
  <c r="AL49" i="20"/>
  <c r="AL65" i="20"/>
  <c r="AL68" i="20"/>
  <c r="AL59" i="20"/>
  <c r="AL60" i="20"/>
  <c r="AL31" i="20"/>
  <c r="AL51" i="20"/>
  <c r="AL54" i="20"/>
  <c r="AL57" i="20"/>
  <c r="AL62" i="20"/>
  <c r="AL35" i="20"/>
  <c r="AL38" i="20"/>
  <c r="AL41" i="20"/>
  <c r="AL64" i="20"/>
  <c r="AL66" i="20"/>
  <c r="AP22" i="20"/>
  <c r="AP28" i="20"/>
  <c r="AP32" i="20"/>
  <c r="AP36" i="20"/>
  <c r="AP40" i="20"/>
  <c r="AP44" i="20"/>
  <c r="AP48" i="20"/>
  <c r="AP52" i="20"/>
  <c r="AP56" i="20"/>
  <c r="AP25" i="20"/>
  <c r="AP29" i="20"/>
  <c r="AP33" i="20"/>
  <c r="AP26" i="20"/>
  <c r="AP34" i="20"/>
  <c r="AP35" i="20"/>
  <c r="AP38" i="20"/>
  <c r="AP41" i="20"/>
  <c r="AP51" i="20"/>
  <c r="AP54" i="20"/>
  <c r="AP57" i="20"/>
  <c r="AP61" i="20"/>
  <c r="AP30" i="20"/>
  <c r="AP43" i="20"/>
  <c r="AP46" i="20"/>
  <c r="AP49" i="20"/>
  <c r="AP59" i="20"/>
  <c r="AP63" i="20"/>
  <c r="AP67" i="20"/>
  <c r="AP23" i="20"/>
  <c r="AP31" i="20"/>
  <c r="AP39" i="20"/>
  <c r="AP42" i="20"/>
  <c r="AP45" i="20"/>
  <c r="AP60" i="20"/>
  <c r="AP64" i="20"/>
  <c r="AP62" i="20"/>
  <c r="AP55" i="20"/>
  <c r="AP58" i="20"/>
  <c r="AP66" i="20"/>
  <c r="AP47" i="20"/>
  <c r="AP53" i="20"/>
  <c r="AP27" i="20"/>
  <c r="AP37" i="20"/>
  <c r="AP50" i="20"/>
  <c r="AP65" i="20"/>
  <c r="AP68" i="20"/>
  <c r="AT28" i="20"/>
  <c r="AT32" i="20"/>
  <c r="AT36" i="20"/>
  <c r="AT40" i="20"/>
  <c r="AT44" i="20"/>
  <c r="AT48" i="20"/>
  <c r="AT52" i="20"/>
  <c r="AT56" i="20"/>
  <c r="AT25" i="20"/>
  <c r="AT29" i="20"/>
  <c r="AT33" i="20"/>
  <c r="AT30" i="20"/>
  <c r="AT37" i="20"/>
  <c r="AT47" i="20"/>
  <c r="AT50" i="20"/>
  <c r="AT53" i="20"/>
  <c r="AT61" i="20"/>
  <c r="AT23" i="20"/>
  <c r="AT26" i="20"/>
  <c r="AT34" i="20"/>
  <c r="AT39" i="20"/>
  <c r="AT42" i="20"/>
  <c r="AT45" i="20"/>
  <c r="AT55" i="20"/>
  <c r="AT58" i="20"/>
  <c r="AT59" i="20"/>
  <c r="AT63" i="20"/>
  <c r="AT67" i="20"/>
  <c r="AT27" i="20"/>
  <c r="AT35" i="20"/>
  <c r="AT38" i="20"/>
  <c r="AT41" i="20"/>
  <c r="AT22" i="20"/>
  <c r="AT51" i="20"/>
  <c r="AT57" i="20"/>
  <c r="AT60" i="20"/>
  <c r="AT65" i="20"/>
  <c r="AT43" i="20"/>
  <c r="AT49" i="20"/>
  <c r="AT62" i="20"/>
  <c r="AT31" i="20"/>
  <c r="AT66" i="20"/>
  <c r="AT54" i="20"/>
  <c r="AT68" i="20"/>
  <c r="AT46" i="20"/>
  <c r="AT64" i="20"/>
  <c r="AX28" i="20"/>
  <c r="AX32" i="20"/>
  <c r="AX36" i="20"/>
  <c r="AX40" i="20"/>
  <c r="AX44" i="20"/>
  <c r="AX48" i="20"/>
  <c r="AX52" i="20"/>
  <c r="AX56" i="20"/>
  <c r="AX23" i="20"/>
  <c r="AX25" i="20"/>
  <c r="AX29" i="20"/>
  <c r="AX33" i="20"/>
  <c r="AX26" i="20"/>
  <c r="AX34" i="20"/>
  <c r="AX43" i="20"/>
  <c r="AX46" i="20"/>
  <c r="AX49" i="20"/>
  <c r="AX61" i="20"/>
  <c r="AX22" i="20"/>
  <c r="AX30" i="20"/>
  <c r="AX35" i="20"/>
  <c r="AX38" i="20"/>
  <c r="AX41" i="20"/>
  <c r="AX51" i="20"/>
  <c r="AX54" i="20"/>
  <c r="AX57" i="20"/>
  <c r="AX59" i="20"/>
  <c r="AX63" i="20"/>
  <c r="AX67" i="20"/>
  <c r="AX37" i="20"/>
  <c r="AX60" i="20"/>
  <c r="AX66" i="20"/>
  <c r="AX58" i="20"/>
  <c r="AX62" i="20"/>
  <c r="AX27" i="20"/>
  <c r="AX31" i="20"/>
  <c r="AX47" i="20"/>
  <c r="AX53" i="20"/>
  <c r="AX39" i="20"/>
  <c r="AX45" i="20"/>
  <c r="AX55" i="20"/>
  <c r="AX65" i="20"/>
  <c r="AX68" i="20"/>
  <c r="AX50" i="20"/>
  <c r="AX64" i="20"/>
  <c r="AX42" i="20"/>
  <c r="BB23" i="20"/>
  <c r="BB28" i="20"/>
  <c r="BB32" i="20"/>
  <c r="BB36" i="20"/>
  <c r="BB40" i="20"/>
  <c r="BB44" i="20"/>
  <c r="BB48" i="20"/>
  <c r="BB52" i="20"/>
  <c r="BB56" i="20"/>
  <c r="BB22" i="20"/>
  <c r="BB25" i="20"/>
  <c r="BB29" i="20"/>
  <c r="BB33" i="20"/>
  <c r="BB30" i="20"/>
  <c r="BB39" i="20"/>
  <c r="BB42" i="20"/>
  <c r="BB45" i="20"/>
  <c r="BB55" i="20"/>
  <c r="BB58" i="20"/>
  <c r="BB61" i="20"/>
  <c r="BB26" i="20"/>
  <c r="BB34" i="20"/>
  <c r="BB37" i="20"/>
  <c r="BB47" i="20"/>
  <c r="BB50" i="20"/>
  <c r="BB53" i="20"/>
  <c r="BB59" i="20"/>
  <c r="BB63" i="20"/>
  <c r="BB67" i="20"/>
  <c r="BB27" i="20"/>
  <c r="BB65" i="20"/>
  <c r="BB68" i="20"/>
  <c r="BB57" i="20"/>
  <c r="BB64" i="20"/>
  <c r="BB43" i="20"/>
  <c r="BB49" i="20"/>
  <c r="BB35" i="20"/>
  <c r="BB38" i="20"/>
  <c r="BB62" i="20"/>
  <c r="BB51" i="20"/>
  <c r="BB54" i="20"/>
  <c r="BB46" i="20"/>
  <c r="BB60" i="20"/>
  <c r="BB31" i="20"/>
  <c r="BB41" i="20"/>
  <c r="BB66" i="20"/>
  <c r="BF22" i="20"/>
  <c r="BF23" i="20"/>
  <c r="BF28" i="20"/>
  <c r="BF32" i="20"/>
  <c r="BF36" i="20"/>
  <c r="BF40" i="20"/>
  <c r="BF44" i="20"/>
  <c r="BF48" i="20"/>
  <c r="BF52" i="20"/>
  <c r="BF56" i="20"/>
  <c r="BF25" i="20"/>
  <c r="BF29" i="20"/>
  <c r="BF33" i="20"/>
  <c r="BF26" i="20"/>
  <c r="BF35" i="20"/>
  <c r="BF38" i="20"/>
  <c r="BF41" i="20"/>
  <c r="BF51" i="20"/>
  <c r="BF54" i="20"/>
  <c r="BF57" i="20"/>
  <c r="BF61" i="20"/>
  <c r="BF30" i="20"/>
  <c r="BF43" i="20"/>
  <c r="BF46" i="20"/>
  <c r="BF49" i="20"/>
  <c r="BF59" i="20"/>
  <c r="BF63" i="20"/>
  <c r="BF67" i="20"/>
  <c r="BF31" i="20"/>
  <c r="BF55" i="20"/>
  <c r="BF58" i="20"/>
  <c r="BF60" i="20"/>
  <c r="BF64" i="20"/>
  <c r="BF62" i="20"/>
  <c r="BF39" i="20"/>
  <c r="BF42" i="20"/>
  <c r="BF45" i="20"/>
  <c r="BF66" i="20"/>
  <c r="BF27" i="20"/>
  <c r="BF34" i="20"/>
  <c r="BF47" i="20"/>
  <c r="BF50" i="20"/>
  <c r="BF53" i="20"/>
  <c r="BF37" i="20"/>
  <c r="BF68" i="20"/>
  <c r="BF65" i="20"/>
  <c r="BB70" i="20" l="1"/>
  <c r="D10" i="27" s="1"/>
  <c r="AK70" i="20"/>
  <c r="H13" i="27" s="1"/>
  <c r="AO70" i="20"/>
  <c r="G12" i="27" s="1"/>
  <c r="BE70" i="20"/>
  <c r="D13" i="27" s="1"/>
  <c r="AH70" i="20"/>
  <c r="H10" i="27" s="1"/>
  <c r="AW70" i="20"/>
  <c r="E10" i="27" s="1"/>
  <c r="BA70" i="20"/>
  <c r="E14" i="27" s="1"/>
  <c r="AZ70" i="20"/>
  <c r="E13" i="27" s="1"/>
  <c r="AR70" i="20"/>
  <c r="F10" i="27" s="1"/>
  <c r="BC70" i="20"/>
  <c r="D11" i="27" s="1"/>
  <c r="AU70" i="20"/>
  <c r="F13" i="27" s="1"/>
  <c r="AM70" i="20"/>
  <c r="G10" i="27" s="1"/>
  <c r="AP70" i="20"/>
  <c r="G13" i="27" s="1"/>
  <c r="AS70" i="20"/>
  <c r="F11" i="27" s="1"/>
  <c r="AT70" i="20"/>
  <c r="F12" i="27" s="1"/>
  <c r="AJ70" i="20"/>
  <c r="H12" i="27" s="1"/>
  <c r="AX70" i="20"/>
  <c r="E11" i="27" s="1"/>
  <c r="AY70" i="20"/>
  <c r="E12" i="27" s="1"/>
  <c r="AQ70" i="20"/>
  <c r="G14" i="27" s="1"/>
  <c r="AI70" i="20"/>
  <c r="H11" i="27" s="1"/>
  <c r="BF70" i="20"/>
  <c r="D14" i="27" s="1"/>
  <c r="AL70" i="20"/>
  <c r="H14" i="27" s="1"/>
  <c r="BD70" i="20"/>
  <c r="D12" i="27" s="1"/>
  <c r="AV70" i="20"/>
  <c r="F14" i="27" s="1"/>
  <c r="AN70" i="20"/>
  <c r="G11" i="27" s="1"/>
  <c r="E22" i="20" l="1"/>
  <c r="E23"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W22" i="20" l="1"/>
  <c r="X22" i="20" s="1"/>
  <c r="W23" i="20"/>
  <c r="X23" i="20" s="1"/>
  <c r="W25" i="20"/>
  <c r="X25" i="20" s="1"/>
  <c r="W26" i="20"/>
  <c r="X26" i="20" s="1"/>
  <c r="W27" i="20"/>
  <c r="X27" i="20" s="1"/>
  <c r="W28" i="20"/>
  <c r="X28" i="20" s="1"/>
  <c r="W29" i="20"/>
  <c r="X29" i="20" s="1"/>
  <c r="W30" i="20"/>
  <c r="X30" i="20" s="1"/>
  <c r="W31" i="20"/>
  <c r="X31" i="20" s="1"/>
  <c r="W32" i="20"/>
  <c r="X32" i="20" s="1"/>
  <c r="W33" i="20"/>
  <c r="X33" i="20" s="1"/>
  <c r="W34" i="20"/>
  <c r="X34" i="20" s="1"/>
  <c r="W35" i="20"/>
  <c r="X35" i="20" s="1"/>
  <c r="W36" i="20"/>
  <c r="X36" i="20" s="1"/>
  <c r="W37" i="20"/>
  <c r="X37" i="20" s="1"/>
  <c r="W38" i="20"/>
  <c r="X38" i="20" s="1"/>
  <c r="W39" i="20"/>
  <c r="X39" i="20" s="1"/>
  <c r="W40" i="20"/>
  <c r="W41" i="20"/>
  <c r="W42" i="20"/>
  <c r="W43" i="20"/>
  <c r="W44" i="20"/>
  <c r="W45" i="20"/>
  <c r="W46" i="20"/>
  <c r="W47" i="20"/>
  <c r="W48" i="20"/>
  <c r="W49" i="20"/>
  <c r="W50" i="20"/>
  <c r="W51" i="20"/>
  <c r="W52" i="20"/>
  <c r="W53" i="20"/>
  <c r="W54" i="20"/>
  <c r="W55" i="20"/>
  <c r="W56" i="20"/>
  <c r="W57" i="20"/>
  <c r="W58" i="20"/>
  <c r="W59" i="20"/>
  <c r="W60" i="20"/>
  <c r="W61" i="20"/>
  <c r="W62" i="20"/>
  <c r="W63" i="20"/>
  <c r="W64" i="20"/>
  <c r="W65" i="20"/>
  <c r="W66" i="20"/>
  <c r="W67" i="20"/>
  <c r="W68" i="20"/>
  <c r="AB22" i="20"/>
  <c r="AC22" i="20" s="1"/>
  <c r="AB23" i="20"/>
  <c r="AC23" i="20" s="1"/>
  <c r="AB25" i="20"/>
  <c r="AC25" i="20" s="1"/>
  <c r="AB26" i="20"/>
  <c r="AC26" i="20" s="1"/>
  <c r="AB27" i="20"/>
  <c r="AC27" i="20" s="1"/>
  <c r="AB28" i="20"/>
  <c r="AC28" i="20" s="1"/>
  <c r="AB29" i="20"/>
  <c r="AC29" i="20" s="1"/>
  <c r="AB30" i="20"/>
  <c r="AC30" i="20" s="1"/>
  <c r="AB31" i="20"/>
  <c r="AC31" i="20" s="1"/>
  <c r="AB32" i="20"/>
  <c r="AC32" i="20" s="1"/>
  <c r="AB33" i="20"/>
  <c r="AC33" i="20" s="1"/>
  <c r="AB34" i="20"/>
  <c r="AC34" i="20" s="1"/>
  <c r="AB35" i="20"/>
  <c r="AC35" i="20" s="1"/>
  <c r="AB36" i="20"/>
  <c r="AC36" i="20" s="1"/>
  <c r="AB37" i="20"/>
  <c r="AC37" i="20" s="1"/>
  <c r="AB38" i="20"/>
  <c r="AC38" i="20" s="1"/>
  <c r="AB39" i="20"/>
  <c r="AC39" i="20" s="1"/>
  <c r="AB40" i="20"/>
  <c r="AC40" i="20" s="1"/>
  <c r="AB41" i="20"/>
  <c r="AC41" i="20" s="1"/>
  <c r="AB42" i="20"/>
  <c r="AC42" i="20" s="1"/>
  <c r="AB43" i="20"/>
  <c r="AC43" i="20" s="1"/>
  <c r="AB44" i="20"/>
  <c r="AC44" i="20" s="1"/>
  <c r="AB45" i="20"/>
  <c r="AB46" i="20"/>
  <c r="AB47" i="20"/>
  <c r="AB48" i="20"/>
  <c r="AB49" i="20"/>
  <c r="AB50" i="20"/>
  <c r="AB51" i="20"/>
  <c r="AB52" i="20"/>
  <c r="AB53" i="20"/>
  <c r="AB54" i="20"/>
  <c r="AB55" i="20"/>
  <c r="AB56" i="20"/>
  <c r="AB57" i="20"/>
  <c r="AB58" i="20"/>
  <c r="AB59" i="20"/>
  <c r="AB60" i="20"/>
  <c r="AB61" i="20"/>
  <c r="AB62" i="20"/>
  <c r="AB63" i="20"/>
  <c r="AB64" i="20"/>
  <c r="AB65" i="20"/>
  <c r="AB66" i="20"/>
  <c r="AB67" i="20"/>
  <c r="AB68" i="20"/>
  <c r="AC68"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CHGremionD</author>
    <author>CHOswaldDa</author>
    <author>Merzouga, Nguyen</author>
  </authors>
  <commentList>
    <comment ref="D18" authorId="0" shapeId="0" xr:uid="{00000000-0006-0000-0100-000001000000}">
      <text>
        <r>
          <rPr>
            <sz val="9"/>
            <color indexed="81"/>
            <rFont val="Tahoma"/>
            <family val="2"/>
          </rPr>
          <t>As per reference list in the worksheet "References"</t>
        </r>
      </text>
    </comment>
    <comment ref="E18" authorId="1" shapeId="0" xr:uid="{00000000-0006-0000-0100-000002000000}">
      <text>
        <r>
          <rPr>
            <sz val="8"/>
            <color indexed="81"/>
            <rFont val="Tahoma"/>
            <family val="2"/>
          </rPr>
          <t>Do not edit the cell!
It will be completed automatically based on previous column "Code"</t>
        </r>
      </text>
    </comment>
    <comment ref="K18" authorId="2" shapeId="0" xr:uid="{00000000-0006-0000-0100-000003000000}">
      <text>
        <r>
          <rPr>
            <sz val="9"/>
            <color indexed="81"/>
            <rFont val="Tahoma"/>
            <family val="2"/>
          </rPr>
          <t>E = Employee
TP = Third Party
C = Contractor
P = Public / Visitor</t>
        </r>
      </text>
    </comment>
    <comment ref="S18" authorId="2" shapeId="0" xr:uid="{00000000-0006-0000-0100-000004000000}">
      <text>
        <r>
          <rPr>
            <sz val="9"/>
            <color indexed="81"/>
            <rFont val="Tahoma"/>
            <family val="2"/>
          </rPr>
          <t>What you describe here will help you to define the level of "Likelihood" in the next column, together with regard to the frequency of exposure.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Merzouga, Nguyen</author>
  </authors>
  <commentList>
    <comment ref="R8" authorId="0" shapeId="0" xr:uid="{00000000-0006-0000-0500-000001000000}">
      <text>
        <r>
          <rPr>
            <b/>
            <sz val="9"/>
            <color indexed="81"/>
            <rFont val="Tahoma"/>
            <family val="2"/>
          </rPr>
          <t>Insert:
1 for "Completed"
2 for "In progress"
3 for "Overdue"
4 for "Cancelled"</t>
        </r>
      </text>
    </comment>
  </commentList>
</comments>
</file>

<file path=xl/sharedStrings.xml><?xml version="1.0" encoding="utf-8"?>
<sst xmlns="http://schemas.openxmlformats.org/spreadsheetml/2006/main" count="568" uniqueCount="353">
  <si>
    <t>B1</t>
  </si>
  <si>
    <t>B2</t>
  </si>
  <si>
    <t>Version:</t>
  </si>
  <si>
    <t>N°</t>
  </si>
  <si>
    <t>A</t>
  </si>
  <si>
    <t>B</t>
  </si>
  <si>
    <t>C</t>
  </si>
  <si>
    <t>D</t>
  </si>
  <si>
    <t>E</t>
  </si>
  <si>
    <t>F</t>
  </si>
  <si>
    <t>H</t>
  </si>
  <si>
    <t>I</t>
  </si>
  <si>
    <t>G</t>
  </si>
  <si>
    <t>A1</t>
  </si>
  <si>
    <t>A2</t>
  </si>
  <si>
    <t>A3</t>
  </si>
  <si>
    <t>A4</t>
  </si>
  <si>
    <t>A5</t>
  </si>
  <si>
    <t>A6</t>
  </si>
  <si>
    <t>B3</t>
  </si>
  <si>
    <t>C1</t>
  </si>
  <si>
    <t>D1</t>
  </si>
  <si>
    <t>E1</t>
  </si>
  <si>
    <t>E2</t>
  </si>
  <si>
    <t>F1</t>
  </si>
  <si>
    <t>G1</t>
  </si>
  <si>
    <t>H1</t>
  </si>
  <si>
    <t>H2</t>
  </si>
  <si>
    <t>I1</t>
  </si>
  <si>
    <t>F2</t>
  </si>
  <si>
    <t>Code</t>
  </si>
  <si>
    <t>J</t>
  </si>
  <si>
    <t>J1</t>
  </si>
  <si>
    <t>J2</t>
  </si>
  <si>
    <t>B4</t>
  </si>
  <si>
    <t>C2</t>
  </si>
  <si>
    <t>C3</t>
  </si>
  <si>
    <t>A7</t>
  </si>
  <si>
    <t>K</t>
  </si>
  <si>
    <t>L</t>
  </si>
  <si>
    <t>K1</t>
  </si>
  <si>
    <t>K2</t>
  </si>
  <si>
    <t>L1</t>
  </si>
  <si>
    <t>L2</t>
  </si>
  <si>
    <t>M</t>
  </si>
  <si>
    <t>M1</t>
  </si>
  <si>
    <t>M2</t>
  </si>
  <si>
    <t>M3</t>
  </si>
  <si>
    <t>M4</t>
  </si>
  <si>
    <t>Form</t>
  </si>
  <si>
    <t>Hazard Identification &amp; Risk Assessment</t>
  </si>
  <si>
    <t xml:space="preserve">Station / Business Unit: </t>
  </si>
  <si>
    <t>Assessment Team</t>
  </si>
  <si>
    <t>Facilitator:</t>
  </si>
  <si>
    <t>Approved by:</t>
  </si>
  <si>
    <t>SEVERITY</t>
  </si>
  <si>
    <t>LIKELIHOOD</t>
  </si>
  <si>
    <t>Hazards</t>
  </si>
  <si>
    <t>Severity</t>
  </si>
  <si>
    <t>Likelihood</t>
  </si>
  <si>
    <t>Mechanical hazards</t>
  </si>
  <si>
    <t>Falling objects</t>
  </si>
  <si>
    <t>Cutting objects</t>
  </si>
  <si>
    <t>Electrical hazards</t>
  </si>
  <si>
    <t>Elements under electrical tension</t>
  </si>
  <si>
    <t>Short circuit, overload, electrical arch</t>
  </si>
  <si>
    <t>Falling hazards</t>
  </si>
  <si>
    <t>Slippery surface</t>
  </si>
  <si>
    <t xml:space="preserve">Tripping hazards </t>
  </si>
  <si>
    <t>Falling on stairs or slopes</t>
  </si>
  <si>
    <t>Chemical hazards</t>
  </si>
  <si>
    <t>Fire hazards / Explosion hazards</t>
  </si>
  <si>
    <t>Explosive atmosphere</t>
  </si>
  <si>
    <t>Ergonomics / Musculoskeletal disorders</t>
  </si>
  <si>
    <t>Constrained body posture or the need for excessive effort</t>
  </si>
  <si>
    <t>Manipulating heavy loads</t>
  </si>
  <si>
    <t>Repetitive body movement</t>
  </si>
  <si>
    <t>Physical constraints</t>
  </si>
  <si>
    <t>Noise</t>
  </si>
  <si>
    <t>Ionizing radiation</t>
  </si>
  <si>
    <t>Working in under- or overpressurised environment</t>
  </si>
  <si>
    <t>Constraints linked with working environment</t>
  </si>
  <si>
    <t>Inadequate or poorly placed lighting</t>
  </si>
  <si>
    <t>Being distracted or disturbed frequently</t>
  </si>
  <si>
    <t>Hazards linked with organisation</t>
  </si>
  <si>
    <t>Lack of qualification</t>
  </si>
  <si>
    <t>Difficulty to communicate (people, languages, cultural barrier, …)</t>
  </si>
  <si>
    <t>Hazards to the environment</t>
  </si>
  <si>
    <t>Pollution on soil, surface water, deep water</t>
  </si>
  <si>
    <t>Pollution in canalisations/drains</t>
  </si>
  <si>
    <t>Air pollution (CO2, NOx, HCFC, HFC,…)</t>
  </si>
  <si>
    <t>Waste sorting not respected</t>
  </si>
  <si>
    <t>Type of hazard</t>
  </si>
  <si>
    <t>Level of risk</t>
  </si>
  <si>
    <t>Negligible</t>
  </si>
  <si>
    <t>Minor</t>
  </si>
  <si>
    <t>Major</t>
  </si>
  <si>
    <t>Hazardous</t>
  </si>
  <si>
    <t>Catastrophic</t>
  </si>
  <si>
    <t>High Risk</t>
  </si>
  <si>
    <t>Moderate Risk</t>
  </si>
  <si>
    <t>Description of activity, incl. equipment, tools, material, substances, etc.</t>
  </si>
  <si>
    <t>Ultrasound, infrasound</t>
  </si>
  <si>
    <t>Vibrations</t>
  </si>
  <si>
    <r>
      <t xml:space="preserve">Other recommended preventive and control measures
</t>
    </r>
    <r>
      <rPr>
        <sz val="8"/>
        <color theme="1"/>
        <rFont val="Arial"/>
        <family val="2"/>
      </rPr>
      <t>(technical and physical conditions, people behaviours, training, awareness, environmental conditions)</t>
    </r>
  </si>
  <si>
    <t>Immediately</t>
  </si>
  <si>
    <t>Elements with hazardous surfaces, edges, corners, tips</t>
  </si>
  <si>
    <t>Thermal hazards</t>
  </si>
  <si>
    <t>A8</t>
  </si>
  <si>
    <t>Exposure to bacteria, viruses, fungi, micro-organisms</t>
  </si>
  <si>
    <t>Exposure to asbestos</t>
  </si>
  <si>
    <t>Material hazards</t>
  </si>
  <si>
    <t>Exposure, intoxication or inhalation of toxic gases, vapours or fumes</t>
  </si>
  <si>
    <t>Exposure to hazardous particles, dust, fumes</t>
  </si>
  <si>
    <t>Lone worker</t>
  </si>
  <si>
    <t>Exposure to extreme conditions (cold, hot, damp, dry)</t>
  </si>
  <si>
    <t>N</t>
  </si>
  <si>
    <t>J3</t>
  </si>
  <si>
    <t>N1</t>
  </si>
  <si>
    <t>N2</t>
  </si>
  <si>
    <t>N3</t>
  </si>
  <si>
    <t>N4</t>
  </si>
  <si>
    <t>N5</t>
  </si>
  <si>
    <t>N6</t>
  </si>
  <si>
    <t>Falling from height (&gt;1m) e.g. work platform, ladder, high loader, conveyor belt, …</t>
  </si>
  <si>
    <t>Radiation (sun, UV, laser, electromagnetic field)</t>
  </si>
  <si>
    <t>Repetitive, monotonous activities impacting mental health</t>
  </si>
  <si>
    <t>Isolated worker impacting mental health</t>
  </si>
  <si>
    <t>Competences / responsibilities not clearly defined</t>
  </si>
  <si>
    <t>Constraining / irregular work hours</t>
  </si>
  <si>
    <t>Lack of training / instruction / information</t>
  </si>
  <si>
    <t>Corrective Actions Required</t>
  </si>
  <si>
    <t>Likely to occur</t>
  </si>
  <si>
    <t>Rare to occur</t>
  </si>
  <si>
    <t>Unlikely to occur</t>
  </si>
  <si>
    <t>Possible to occur</t>
  </si>
  <si>
    <t>Extreme Risk</t>
  </si>
  <si>
    <t>Negligible Risk</t>
  </si>
  <si>
    <t>Certain to occur</t>
  </si>
  <si>
    <t>Risk Score</t>
  </si>
  <si>
    <t>Tolerate</t>
  </si>
  <si>
    <t>Tolerate or Treat</t>
  </si>
  <si>
    <t>Treat</t>
  </si>
  <si>
    <t>Approve the course of action</t>
  </si>
  <si>
    <t>Station Manager</t>
  </si>
  <si>
    <t>NA</t>
  </si>
  <si>
    <t>Supervisors</t>
  </si>
  <si>
    <t>Unit/Dpt Head, Business Line Leader</t>
  </si>
  <si>
    <r>
      <rPr>
        <b/>
        <sz val="9"/>
        <rFont val="Arial"/>
        <family val="2"/>
      </rPr>
      <t>1) Exposure:</t>
    </r>
    <r>
      <rPr>
        <sz val="9"/>
        <rFont val="Arial"/>
        <family val="2"/>
      </rPr>
      <t xml:space="preserve">
=&gt; How many people are exposed to the hazard
=&gt; How often is the exposure (e.g. once a day / once a week / once a month)
=&gt; How long are people exposed to the hazard (e.g. 5 minutes, several hours or continually)
</t>
    </r>
    <r>
      <rPr>
        <b/>
        <sz val="9"/>
        <rFont val="Arial"/>
        <family val="2"/>
      </rPr>
      <t>2) Level of technique/environment:</t>
    </r>
    <r>
      <rPr>
        <sz val="9"/>
        <rFont val="Arial"/>
        <family val="2"/>
      </rPr>
      <t xml:space="preserve">
=&gt; How good and well maintained are our equipment, tools, material, facility
=&gt; How does the environment affect the hazard (lighting, weather conditions, indoor, outdoor, ...)
</t>
    </r>
    <r>
      <rPr>
        <b/>
        <sz val="9"/>
        <rFont val="Arial"/>
        <family val="2"/>
      </rPr>
      <t>3) Level of people awareness/Leadership</t>
    </r>
    <r>
      <rPr>
        <sz val="9"/>
        <rFont val="Arial"/>
        <family val="2"/>
      </rPr>
      <t xml:space="preserve">
=&gt; How good and effective is the training
=&gt; How safe/unsafe are people overall behaviours and mindset
=&gt; How well do workers perceive the hazards
=&gt; How strong are our leaders to coach and manage people</t>
    </r>
  </si>
  <si>
    <r>
      <rPr>
        <b/>
        <sz val="10"/>
        <rFont val="Arial"/>
        <family val="2"/>
      </rPr>
      <t>D</t>
    </r>
    <r>
      <rPr>
        <sz val="10"/>
        <rFont val="Arial"/>
        <family val="2"/>
      </rPr>
      <t xml:space="preserve">
Minor</t>
    </r>
  </si>
  <si>
    <r>
      <rPr>
        <b/>
        <sz val="10"/>
        <rFont val="Arial"/>
        <family val="2"/>
      </rPr>
      <t>E</t>
    </r>
    <r>
      <rPr>
        <sz val="10"/>
        <rFont val="Arial"/>
        <family val="2"/>
      </rPr>
      <t xml:space="preserve">
Negligible</t>
    </r>
  </si>
  <si>
    <r>
      <rPr>
        <b/>
        <sz val="10"/>
        <rFont val="Arial"/>
        <family val="2"/>
      </rPr>
      <t>A</t>
    </r>
    <r>
      <rPr>
        <sz val="10"/>
        <rFont val="Arial"/>
        <family val="2"/>
      </rPr>
      <t xml:space="preserve">
Catastrophic</t>
    </r>
  </si>
  <si>
    <r>
      <rPr>
        <b/>
        <sz val="10"/>
        <rFont val="Arial"/>
        <family val="2"/>
      </rPr>
      <t>B</t>
    </r>
    <r>
      <rPr>
        <sz val="10"/>
        <rFont val="Arial"/>
        <family val="2"/>
      </rPr>
      <t xml:space="preserve">
Hazardous</t>
    </r>
  </si>
  <si>
    <r>
      <rPr>
        <b/>
        <sz val="10"/>
        <rFont val="Arial"/>
        <family val="2"/>
      </rPr>
      <t>C</t>
    </r>
    <r>
      <rPr>
        <sz val="10"/>
        <rFont val="Arial"/>
        <family val="2"/>
      </rPr>
      <t xml:space="preserve">
Major</t>
    </r>
  </si>
  <si>
    <r>
      <rPr>
        <b/>
        <sz val="10"/>
        <rFont val="Arial"/>
        <family val="2"/>
      </rPr>
      <t>1</t>
    </r>
    <r>
      <rPr>
        <sz val="10"/>
        <rFont val="Arial"/>
        <family val="2"/>
      </rPr>
      <t xml:space="preserve">
Certain to occur</t>
    </r>
  </si>
  <si>
    <r>
      <rPr>
        <b/>
        <sz val="10"/>
        <rFont val="Arial"/>
        <family val="2"/>
      </rPr>
      <t>4</t>
    </r>
    <r>
      <rPr>
        <sz val="10"/>
        <rFont val="Arial"/>
        <family val="2"/>
      </rPr>
      <t xml:space="preserve">
Unlikely to occur</t>
    </r>
  </si>
  <si>
    <r>
      <rPr>
        <b/>
        <sz val="10"/>
        <rFont val="Arial"/>
        <family val="2"/>
      </rPr>
      <t>2</t>
    </r>
    <r>
      <rPr>
        <sz val="10"/>
        <rFont val="Arial"/>
        <family val="2"/>
      </rPr>
      <t xml:space="preserve">
Likely to occur</t>
    </r>
  </si>
  <si>
    <r>
      <rPr>
        <b/>
        <sz val="10"/>
        <rFont val="Arial"/>
        <family val="2"/>
      </rPr>
      <t>3</t>
    </r>
    <r>
      <rPr>
        <sz val="10"/>
        <rFont val="Arial"/>
        <family val="2"/>
      </rPr>
      <t xml:space="preserve">
Possible to occur</t>
    </r>
  </si>
  <si>
    <t>CS</t>
  </si>
  <si>
    <t>CP</t>
  </si>
  <si>
    <t>TS</t>
  </si>
  <si>
    <t>TP</t>
  </si>
  <si>
    <t>E
Negligible</t>
  </si>
  <si>
    <t>D
Minor</t>
  </si>
  <si>
    <t>C
Major</t>
  </si>
  <si>
    <t>B
Hazardous</t>
  </si>
  <si>
    <t>A
Catastrophic</t>
  </si>
  <si>
    <t>Current Matrix</t>
  </si>
  <si>
    <t>Target Matrix</t>
  </si>
  <si>
    <t>Nr.</t>
  </si>
  <si>
    <t>Signature</t>
  </si>
  <si>
    <t>Date</t>
  </si>
  <si>
    <t>(e.g. human, financial, technical)</t>
  </si>
  <si>
    <t>level of risk</t>
  </si>
  <si>
    <t>* Explanation required in the next column</t>
  </si>
  <si>
    <t>TARGET</t>
  </si>
  <si>
    <t>CURRENT</t>
  </si>
  <si>
    <t>First name
Surname</t>
  </si>
  <si>
    <t>RECOMMENDATIONS</t>
  </si>
  <si>
    <t>RESOURCES NEEDED</t>
  </si>
  <si>
    <t>MANAGEMENT DECISION</t>
  </si>
  <si>
    <t>EXPLANATION / OTHER COMMENTS</t>
  </si>
  <si>
    <t>Fatality</t>
  </si>
  <si>
    <t>Permanent Disability Injury or illness which results in physical and/or mental impairments for the remainder of life (irreversible injury)</t>
  </si>
  <si>
    <t>Lost Time Injury or Illness for which the affected person is medically considered as unable to work on the calendar day following the incident</t>
  </si>
  <si>
    <t xml:space="preserve">Restricted work (NO lost time), or
Medical-treatment beyond first-aid (NO lost time)
</t>
  </si>
  <si>
    <t xml:space="preserve">Injury requiring first aid only (NO lost time), or
Hurt = injury that doesn't even require first aid treatment
</t>
  </si>
  <si>
    <t>People Injuries</t>
  </si>
  <si>
    <t xml:space="preserve">Total destruction, or
Aircraft damage beyond economical repair
</t>
  </si>
  <si>
    <t>Damage which results in structural damage compromising the physical integrity and safe operation of the aircraft (e.g. engine, cowling, wing, stabilizer, gear, fuselage, stringers, …). Aircraft is inoperative* for more than 24 hours</t>
  </si>
  <si>
    <t>Damage which is not structural damage, cannot be repaired on spot/immediately (must be taken out) OR is likely to trigger 3rd party's claim estimation exceeding 5000.- USD (requiring notification to claim handler). Aircraft is inoperative* between 60 minutes and 24 hours.</t>
  </si>
  <si>
    <t>Damage which is repaired or treated temporarily (e.g. speed tape) on spot/immediately by a technician following inspection by Crew / Engineer. Aircraft inoperative* for less than 60 minutes</t>
  </si>
  <si>
    <t>Touch or Damage which results in aircraft release without requiring technical repair or temporary treatment on spot following inspection by Crew / Engineer.</t>
  </si>
  <si>
    <t>Aircraft Damages</t>
  </si>
  <si>
    <t>Description of the hazard</t>
  </si>
  <si>
    <r>
      <t xml:space="preserve">Description of the potential consequences
</t>
    </r>
    <r>
      <rPr>
        <sz val="8"/>
        <color theme="1"/>
        <rFont val="Arial"/>
        <family val="2"/>
      </rPr>
      <t xml:space="preserve"> (injuries, illnesses, AC damages, damages to the environment, …)</t>
    </r>
  </si>
  <si>
    <t>Initial Assessment</t>
  </si>
  <si>
    <t>Assessment Review</t>
  </si>
  <si>
    <t>Following incidents or near misses</t>
  </si>
  <si>
    <t>Date of initial assessment:</t>
  </si>
  <si>
    <t>Regular assessment review</t>
  </si>
  <si>
    <t>Date of review assessment:</t>
  </si>
  <si>
    <t>Cover Page</t>
  </si>
  <si>
    <t>Type of Assessment</t>
  </si>
  <si>
    <t>Insert date</t>
  </si>
  <si>
    <t>Next assessment review shall be carried out before:</t>
  </si>
  <si>
    <r>
      <t xml:space="preserve">Sequence of Processes / Activities
</t>
    </r>
    <r>
      <rPr>
        <sz val="10"/>
        <color theme="1"/>
        <rFont val="Arial"/>
        <family val="2"/>
      </rPr>
      <t>Please use "verb + complement" to describe the activities (e.g. Open the cargo door, position the loader)</t>
    </r>
  </si>
  <si>
    <t>Timescale for immediate mitigation</t>
  </si>
  <si>
    <t>Responsibility to monitor &amp; review</t>
  </si>
  <si>
    <t>Fluid or gas under pressure</t>
  </si>
  <si>
    <t xml:space="preserve">Type of Operation: </t>
  </si>
  <si>
    <t>Following changes M.O.C (activities, equipment, organisation)</t>
  </si>
  <si>
    <t>Step Nr.</t>
  </si>
  <si>
    <t>Sub-Processes / Activities</t>
  </si>
  <si>
    <t>SOP</t>
  </si>
  <si>
    <t>Violence (verbal or physical)</t>
  </si>
  <si>
    <t>Lack or difficulty to communicate (to/from customers or stakeholders)</t>
  </si>
  <si>
    <t>Working with moving or lifting GSE/Equipment</t>
  </si>
  <si>
    <t>Young worker (below 18)</t>
  </si>
  <si>
    <t>Working with driving GSE/Vehicles</t>
  </si>
  <si>
    <t>Contact with HOT or COLD elements, surfaces, fluids, gases</t>
  </si>
  <si>
    <t>Person at risk</t>
  </si>
  <si>
    <t>Working with moving/rotating elements of GSE/Equipment/Machines/Aircraft</t>
  </si>
  <si>
    <t>Unexpected or uncontrolled movements of GSE/Equipment/Machines/Aircraft</t>
  </si>
  <si>
    <t>Working in narrow space (e.g. in the hold, below/inside the aircraft)</t>
  </si>
  <si>
    <t>1-3 weeks</t>
  </si>
  <si>
    <t>1-3 months</t>
  </si>
  <si>
    <t>Recommendation of control measures to MONITOR and REVIEW the residual risks</t>
  </si>
  <si>
    <t>Electrostatic hazards</t>
  </si>
  <si>
    <t>Unsafe atmosphere in confined space, lack of oxygen</t>
  </si>
  <si>
    <t>Biological / Microbiological hazards</t>
  </si>
  <si>
    <t>Treat or tolerate based on review of controls</t>
  </si>
  <si>
    <t>DEADLINE</t>
  </si>
  <si>
    <t>RESPONSIBLE</t>
  </si>
  <si>
    <t>Hazard Identification &amp; Risk Assessment - Station Management Validation for Actions</t>
  </si>
  <si>
    <t>Other reason of assessment review: ________________________</t>
  </si>
  <si>
    <t>Author &amp; Contact Person:</t>
  </si>
  <si>
    <t>RECOMMENDATIONS FOLLOWING RISK ASSESSMENT</t>
  </si>
  <si>
    <t>IMPLEMENTING ACTIONS</t>
  </si>
  <si>
    <t>STATUS</t>
  </si>
  <si>
    <t>For mitigating risks &amp; Control measures</t>
  </si>
  <si>
    <t>VALIDATION OF ACTIONS BY STATION MANAGEMENT</t>
  </si>
  <si>
    <t>Lack of resources / Understaffed</t>
  </si>
  <si>
    <t>STOP operation immediately.
Mobilize the station safety committee to manage the urgency and perform priority risk mitigation to ensure that additional or enhanced preventive controls are put in place to bring down the risk score to the moderate or lower range.</t>
  </si>
  <si>
    <t>Perform priority risk mitigation to ensure that additional or enhanced preventive controls are put in place to bring down the risk score to the moderate or lower range.</t>
  </si>
  <si>
    <t>Review risk mitigation / Check control measures and ensure their effectiveness / Appropriate additional control measures should be developed and implemented where it is reasonably practicable (ALARP = as low as reasonably practicable).</t>
  </si>
  <si>
    <t>No specific actions required.
Actions recommended: Regularly check control measures and ensure their effectiveness.</t>
  </si>
  <si>
    <r>
      <t>Following elements should be considered while estimating the</t>
    </r>
    <r>
      <rPr>
        <b/>
        <u/>
        <sz val="10"/>
        <rFont val="Arial"/>
        <family val="2"/>
      </rPr>
      <t xml:space="preserve"> likelihood</t>
    </r>
    <r>
      <rPr>
        <b/>
        <sz val="10"/>
        <rFont val="Arial"/>
        <family val="2"/>
      </rPr>
      <t xml:space="preserve"> of an event:</t>
    </r>
  </si>
  <si>
    <t>Animal hazards</t>
  </si>
  <si>
    <t>O</t>
  </si>
  <si>
    <t>K3</t>
  </si>
  <si>
    <t>K4</t>
  </si>
  <si>
    <t>K5</t>
  </si>
  <si>
    <t>K6</t>
  </si>
  <si>
    <t>K7</t>
  </si>
  <si>
    <t>N7</t>
  </si>
  <si>
    <t>N8</t>
  </si>
  <si>
    <t>N9</t>
  </si>
  <si>
    <t>N10</t>
  </si>
  <si>
    <t>O1</t>
  </si>
  <si>
    <t>O2</t>
  </si>
  <si>
    <t>O3</t>
  </si>
  <si>
    <t>O4</t>
  </si>
  <si>
    <t>O5</t>
  </si>
  <si>
    <t>O6</t>
  </si>
  <si>
    <t>Could occur but not likely – Known to happen in the industry</t>
  </si>
  <si>
    <t>Practically impossible – May occur in exceptional circumstances – Unknown but could happen in the industry</t>
  </si>
  <si>
    <r>
      <rPr>
        <b/>
        <sz val="10"/>
        <rFont val="Arial"/>
        <family val="2"/>
      </rPr>
      <t xml:space="preserve">5
</t>
    </r>
    <r>
      <rPr>
        <sz val="10"/>
        <rFont val="Arial"/>
        <family val="2"/>
      </rPr>
      <t>Extremely unlikely to occur</t>
    </r>
  </si>
  <si>
    <t>Minor Risk</t>
  </si>
  <si>
    <r>
      <t xml:space="preserve">5
Extremely unlikely to occur
</t>
    </r>
    <r>
      <rPr>
        <sz val="10"/>
        <rFont val="Arial"/>
        <family val="2"/>
      </rPr>
      <t>Practically impossible – Unknown but could happen in the industry</t>
    </r>
  </si>
  <si>
    <r>
      <t>4
Unlikely to occur</t>
    </r>
    <r>
      <rPr>
        <sz val="10"/>
        <rFont val="Arial"/>
        <family val="2"/>
      </rPr>
      <t xml:space="preserve">
Could occur but not likely – Known to happen in the industry</t>
    </r>
  </si>
  <si>
    <t>Common or repeating occurrence - Occur regularly in the company</t>
  </si>
  <si>
    <r>
      <t xml:space="preserve">1
Certain to occur
</t>
    </r>
    <r>
      <rPr>
        <sz val="10"/>
        <rFont val="Arial"/>
        <family val="2"/>
      </rPr>
      <t>Common or repeating occurrence - Occur regularly in the company</t>
    </r>
  </si>
  <si>
    <t>Bring the risks down to Minor or Negligible levels</t>
  </si>
  <si>
    <r>
      <rPr>
        <b/>
        <u/>
        <sz val="9"/>
        <rFont val="Arial"/>
        <family val="2"/>
      </rPr>
      <t>Main Goal</t>
    </r>
    <r>
      <rPr>
        <b/>
        <sz val="9"/>
        <rFont val="Arial"/>
        <family val="2"/>
      </rPr>
      <t>:</t>
    </r>
  </si>
  <si>
    <t>EXTREME RISK</t>
  </si>
  <si>
    <t>HIGH RISK</t>
  </si>
  <si>
    <t>MODERATE RISK</t>
  </si>
  <si>
    <t>MINOR RISK</t>
  </si>
  <si>
    <t>NEGLIGIBLE RISK</t>
  </si>
  <si>
    <t>Contact with animals (bite, scratch, sting)</t>
  </si>
  <si>
    <t>Known to occur or has happened – Will probably occur at some time – Occurred more than once in the company</t>
  </si>
  <si>
    <r>
      <t xml:space="preserve">2
Likely to occur
</t>
    </r>
    <r>
      <rPr>
        <sz val="10"/>
        <rFont val="Arial"/>
        <family val="2"/>
      </rPr>
      <t>Known to occur or has happened – Occurred more than once in the company</t>
    </r>
  </si>
  <si>
    <r>
      <t xml:space="preserve">3
Possible to occur
</t>
    </r>
    <r>
      <rPr>
        <sz val="10"/>
        <rFont val="Arial"/>
        <family val="2"/>
      </rPr>
      <t>Occurs in some circumstances - Occurred once in the company</t>
    </r>
  </si>
  <si>
    <t>Could occur in some circumstances – Occurred once in the company</t>
  </si>
  <si>
    <r>
      <rPr>
        <b/>
        <sz val="10"/>
        <rFont val="Arial"/>
        <family val="2"/>
      </rPr>
      <t>5</t>
    </r>
    <r>
      <rPr>
        <sz val="10"/>
        <rFont val="Arial"/>
        <family val="2"/>
      </rPr>
      <t xml:space="preserve">
Extremely unlikely to occur</t>
    </r>
  </si>
  <si>
    <t>Current Risk Profile:</t>
  </si>
  <si>
    <t>Target Risk Profile:</t>
  </si>
  <si>
    <t>Certain(1)</t>
  </si>
  <si>
    <t>Catastrophic
(A)</t>
  </si>
  <si>
    <t>Hazardous
(B)</t>
  </si>
  <si>
    <t>Major
(C)</t>
  </si>
  <si>
    <t>Minor
(D)</t>
  </si>
  <si>
    <t>Negligible
(E)</t>
  </si>
  <si>
    <t>Certain
(1)</t>
  </si>
  <si>
    <t>Likely
(2)</t>
  </si>
  <si>
    <t>Possible
(3)</t>
  </si>
  <si>
    <t>Unlikely
(4)</t>
  </si>
  <si>
    <t>Extremely unlikely
(5)</t>
  </si>
  <si>
    <t>Certain
(1)Catastrophic
(A)</t>
  </si>
  <si>
    <t>Likely
(2)Catastrophic
(A)</t>
  </si>
  <si>
    <t>Possible
(3)Catastrophic
(A)</t>
  </si>
  <si>
    <t>Unlikely
(4)Catastrophic
(A)</t>
  </si>
  <si>
    <t>Extremely unlikely
(5)Catastrophic
(A)</t>
  </si>
  <si>
    <t>Certain
(1)Hazardous
(B)</t>
  </si>
  <si>
    <t>Likely
(2)Hazardous
(B)</t>
  </si>
  <si>
    <t>Possible
(3)Hazardous
(B)</t>
  </si>
  <si>
    <t>Unlikely
(4)Hazardous
(B)</t>
  </si>
  <si>
    <t>Extremely unlikely
(5)Hazardous
(B)</t>
  </si>
  <si>
    <t>Certain
(1)Major
(C)</t>
  </si>
  <si>
    <t>Likely
(2)Major
(C)</t>
  </si>
  <si>
    <t>Possible
(3)Major
(C)</t>
  </si>
  <si>
    <t>Unlikely
(4)Major
(C)</t>
  </si>
  <si>
    <t>Extremely unlikely
(5)Major
(C)</t>
  </si>
  <si>
    <t>Certain
(1)Minor
(D)</t>
  </si>
  <si>
    <t>Likely
(2)Minor
(D)</t>
  </si>
  <si>
    <t>Possible
(3)Minor
(D)</t>
  </si>
  <si>
    <t>Unlikely
(4)Minor
(D)</t>
  </si>
  <si>
    <t>Extremely unlikely
(5)Minor
(D)</t>
  </si>
  <si>
    <t>Certain
(1)Negligible
(E)</t>
  </si>
  <si>
    <t>Likely
(2)Negligible
(E)</t>
  </si>
  <si>
    <t>Possible
(3)Negligible
(E)</t>
  </si>
  <si>
    <t>Unlikely
(4)Negligible
(E)</t>
  </si>
  <si>
    <t>Extremely unlikely
(5)Negligible
(E)</t>
  </si>
  <si>
    <t>Health &amp; Safety Requirements
What is already mandatory, either from local regulations, industry standards, Swissport or Airlines standards</t>
  </si>
  <si>
    <t>A9</t>
  </si>
  <si>
    <t>Unexpected or uncontrolled body movements resulting in bumping, wedging, ...</t>
  </si>
  <si>
    <t>HIRA Methodology</t>
  </si>
  <si>
    <t>HIRA Template</t>
  </si>
  <si>
    <r>
      <t xml:space="preserve">Recommendations of actions to MITIGATE the risks
</t>
    </r>
    <r>
      <rPr>
        <u/>
        <sz val="8"/>
        <color theme="1"/>
        <rFont val="Arial"/>
        <family val="2"/>
      </rPr>
      <t>Note</t>
    </r>
    <r>
      <rPr>
        <sz val="8"/>
        <color theme="1"/>
        <rFont val="Arial"/>
        <family val="2"/>
      </rPr>
      <t>: Capture here just the headlines of the actions. The detailed actions (with deadlines, responsibilities, etc.) will be captured in the worksheet "Action Plan &amp; Mgt Validation" or in the station health &amp; safety improvement plan.</t>
    </r>
  </si>
  <si>
    <t>Consultation:</t>
  </si>
  <si>
    <t>Mental health constraints</t>
  </si>
  <si>
    <t>Excessive energy consumption</t>
  </si>
  <si>
    <t>Excessive water consumption</t>
  </si>
  <si>
    <r>
      <rPr>
        <u/>
        <sz val="10"/>
        <rFont val="Arial"/>
        <family val="2"/>
      </rPr>
      <t>Instructions</t>
    </r>
    <r>
      <rPr>
        <sz val="10"/>
        <rFont val="Arial"/>
        <family val="2"/>
      </rPr>
      <t>:
Risk Assessment shall be conducted in consultation of a multidisciplinary Team, e.g.:
- QHSE as Facilitator
- Supervisor or Team Leader of the area/activities to be assessed
- Agent of the area/activities to be assessed
- Other stakeholders (as per need and if applicable): Fleet, Trainer, ...</t>
    </r>
  </si>
  <si>
    <t>DEFINE ACTIVITY / OPERATION</t>
  </si>
  <si>
    <t>CONDUCT HAZARD IDENTIFICATION</t>
  </si>
  <si>
    <t>IDENTIFY EXISTING REQUIREMENTS &amp; CONTROL MEASURES</t>
  </si>
  <si>
    <t>CONDUCT RISK EVALUATION</t>
  </si>
  <si>
    <t>DEFINE RISK MITIGATION MEASURES</t>
  </si>
  <si>
    <t>ASSESS RESIDUAL RISKS</t>
  </si>
  <si>
    <t>DEFINE RISK MONITORING</t>
  </si>
  <si>
    <t>* Based on AHM Risk Matrix 2019</t>
  </si>
  <si>
    <t>Swissport Risk Matrix*</t>
  </si>
  <si>
    <t>F3</t>
  </si>
  <si>
    <t>Contact with chemical substances</t>
  </si>
  <si>
    <t>Contact with flammable substances</t>
  </si>
  <si>
    <t>N11</t>
  </si>
  <si>
    <t>Security related hazards</t>
  </si>
  <si>
    <r>
      <t xml:space="preserve">Describe HOW effective the existing preventive measures and control measures are implemented and operating locally?
</t>
    </r>
    <r>
      <rPr>
        <sz val="8"/>
        <rFont val="Arial"/>
        <family val="2"/>
      </rPr>
      <t>Which are the most frequent contributing factors to the incident occurrence?</t>
    </r>
  </si>
  <si>
    <t>Pregnant woman</t>
  </si>
  <si>
    <r>
      <rPr>
        <u/>
        <sz val="10"/>
        <rFont val="Arial"/>
        <family val="2"/>
      </rPr>
      <t>Instructions</t>
    </r>
    <r>
      <rPr>
        <sz val="10"/>
        <rFont val="Arial"/>
        <family val="2"/>
      </rPr>
      <t>:
The date of the initial assessment remains unchanged.
Each assessment review shall be subject of a new version of the HIRA.
The old version shall be archived following the local documentation management system.
Adjust the new date for the next review assessment (max.36 months from the last review assessment date)</t>
    </r>
  </si>
  <si>
    <t>RA-SAF-21…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</si>
</sst>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6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8"/>
      <name val="Arial"/>
      <family val="2"/>
    </font>
    <font>
      <b/>
      <sz val="12"/>
      <name val="Arial"/>
      <family val="2"/>
    </font>
    <font>
      <u/>
      <sz val="10"/>
      <color indexed="12"/>
      <name val="Arial"/>
      <family val="2"/>
    </font>
    <font>
      <b/>
      <u/>
      <sz val="10"/>
      <name val="Arial"/>
      <family val="2"/>
    </font>
    <font>
      <sz val="8"/>
      <color indexed="81"/>
      <name val="Tahoma"/>
      <family val="2"/>
    </font>
    <font>
      <sz val="14"/>
      <name val="Arial"/>
      <family val="2"/>
    </font>
    <font>
      <sz val="11"/>
      <name val="Arial Narrow"/>
      <family val="2"/>
    </font>
    <font>
      <b/>
      <sz val="16"/>
      <name val="Arial Narrow"/>
      <family val="2"/>
    </font>
    <font>
      <i/>
      <sz val="10"/>
      <name val="Arial"/>
      <family val="2"/>
    </font>
    <font>
      <sz val="10"/>
      <name val="AGaramond"/>
      <family val="1"/>
    </font>
    <font>
      <sz val="12"/>
      <name val="Arial Narrow"/>
      <family val="2"/>
    </font>
    <font>
      <b/>
      <sz val="8"/>
      <name val="Arial"/>
      <family val="2"/>
    </font>
    <font>
      <b/>
      <sz val="9"/>
      <name val="Arial"/>
      <family val="2"/>
    </font>
    <font>
      <sz val="9"/>
      <color indexed="81"/>
      <name val="Tahoma"/>
      <family val="2"/>
    </font>
    <font>
      <sz val="9"/>
      <name val="Arial"/>
      <family val="2"/>
    </font>
    <font>
      <sz val="11"/>
      <color theme="1"/>
      <name val="Calibri"/>
      <family val="2"/>
      <scheme val="minor"/>
    </font>
    <font>
      <u/>
      <sz val="11"/>
      <color theme="10"/>
      <name val="Calibri"/>
      <family val="2"/>
    </font>
    <font>
      <sz val="11"/>
      <color indexed="12"/>
      <name val="Calibri"/>
      <family val="2"/>
      <scheme val="minor"/>
    </font>
    <font>
      <u/>
      <sz val="11"/>
      <color indexed="12"/>
      <name val="Calibri"/>
      <family val="2"/>
      <scheme val="minor"/>
    </font>
    <font>
      <b/>
      <sz val="11"/>
      <color theme="1"/>
      <name val="Calibri"/>
      <family val="2"/>
      <scheme val="minor"/>
    </font>
    <font>
      <sz val="11"/>
      <name val="Calibri"/>
      <family val="2"/>
      <scheme val="minor"/>
    </font>
    <font>
      <b/>
      <sz val="8"/>
      <color theme="0"/>
      <name val="Arial"/>
      <family val="2"/>
    </font>
    <font>
      <b/>
      <sz val="8"/>
      <color theme="1"/>
      <name val="Arial"/>
      <family val="2"/>
    </font>
    <font>
      <b/>
      <sz val="10"/>
      <color theme="1"/>
      <name val="Arial"/>
      <family val="2"/>
    </font>
    <font>
      <b/>
      <sz val="12"/>
      <color theme="0"/>
      <name val="Arial"/>
      <family val="2"/>
    </font>
    <font>
      <b/>
      <sz val="14"/>
      <color theme="0"/>
      <name val="Calibri"/>
      <family val="2"/>
      <scheme val="minor"/>
    </font>
    <font>
      <sz val="10"/>
      <color rgb="FF0000FF"/>
      <name val="Arial"/>
      <family val="2"/>
    </font>
    <font>
      <i/>
      <sz val="9"/>
      <name val="Arial"/>
      <family val="2"/>
    </font>
    <font>
      <sz val="8"/>
      <color theme="1"/>
      <name val="Arial"/>
      <family val="2"/>
    </font>
    <font>
      <sz val="10"/>
      <color theme="0"/>
      <name val="Arial"/>
      <family val="2"/>
    </font>
    <font>
      <b/>
      <sz val="16"/>
      <name val="Arial"/>
      <family val="2"/>
    </font>
    <font>
      <b/>
      <sz val="12"/>
      <color theme="1"/>
      <name val="Arial"/>
      <family val="2"/>
    </font>
    <font>
      <sz val="12"/>
      <name val="Arial"/>
      <family val="2"/>
    </font>
    <font>
      <sz val="10"/>
      <color theme="0" tint="-0.34998626667073579"/>
      <name val="Arial"/>
      <family val="2"/>
    </font>
    <font>
      <b/>
      <sz val="18"/>
      <name val="Arial"/>
      <family val="2"/>
    </font>
    <font>
      <b/>
      <sz val="20"/>
      <name val="Arial"/>
      <family val="2"/>
    </font>
    <font>
      <sz val="12"/>
      <name val="Times New Roman"/>
      <family val="1"/>
    </font>
    <font>
      <b/>
      <sz val="14"/>
      <name val="Arial"/>
      <family val="2"/>
    </font>
    <font>
      <sz val="10"/>
      <color theme="1"/>
      <name val="Arial"/>
      <family val="2"/>
    </font>
    <font>
      <u/>
      <sz val="10"/>
      <name val="Arial"/>
      <family val="2"/>
    </font>
    <font>
      <sz val="10"/>
      <color rgb="FF000000"/>
      <name val="Arial"/>
      <family val="2"/>
    </font>
    <font>
      <b/>
      <sz val="9"/>
      <color indexed="81"/>
      <name val="Tahoma"/>
      <family val="2"/>
    </font>
    <font>
      <b/>
      <u/>
      <sz val="9"/>
      <name val="Arial"/>
      <family val="2"/>
    </font>
    <font>
      <b/>
      <sz val="10"/>
      <color theme="0"/>
      <name val="Arial"/>
      <family val="2"/>
    </font>
    <font>
      <sz val="18"/>
      <name val="Arial"/>
      <family val="2"/>
    </font>
    <font>
      <sz val="18"/>
      <color theme="0"/>
      <name val="Arial"/>
      <family val="2"/>
    </font>
    <font>
      <u/>
      <sz val="8"/>
      <color theme="1"/>
      <name val="Arial"/>
      <family val="2"/>
    </font>
  </fonts>
  <fills count="13">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1"/>
        <bgColor indexed="64"/>
      </patternFill>
    </fill>
    <fill>
      <patternFill patternType="solid">
        <fgColor theme="0" tint="-0.249977111117893"/>
        <bgColor indexed="64"/>
      </patternFill>
    </fill>
    <fill>
      <patternFill patternType="solid">
        <fgColor theme="0"/>
        <bgColor indexed="64"/>
      </patternFill>
    </fill>
    <fill>
      <patternFill patternType="solid">
        <fgColor rgb="FFFFFF99"/>
        <bgColor indexed="64"/>
      </patternFill>
    </fill>
    <fill>
      <patternFill patternType="solid">
        <fgColor rgb="FFFF0000"/>
        <bgColor indexed="64"/>
      </patternFill>
    </fill>
    <fill>
      <patternFill patternType="solid">
        <fgColor rgb="FF008000"/>
        <bgColor indexed="64"/>
      </patternFill>
    </fill>
    <fill>
      <patternFill patternType="solid">
        <fgColor rgb="FFFFFF00"/>
        <bgColor indexed="64"/>
      </patternFill>
    </fill>
    <fill>
      <patternFill patternType="solid">
        <fgColor rgb="FFFF9933"/>
        <bgColor indexed="64"/>
      </patternFill>
    </fill>
  </fills>
  <borders count="35">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right/>
      <top style="hair">
        <color indexed="64"/>
      </top>
      <bottom style="thin">
        <color indexed="64"/>
      </bottom>
      <diagonal/>
    </border>
    <border>
      <left style="thin">
        <color theme="0"/>
      </left>
      <right style="thin">
        <color theme="0"/>
      </right>
      <top style="thin">
        <color indexed="64"/>
      </top>
      <bottom/>
      <diagonal/>
    </border>
    <border>
      <left style="thin">
        <color indexed="64"/>
      </left>
      <right style="thin">
        <color theme="0"/>
      </right>
      <top style="thin">
        <color indexed="64"/>
      </top>
      <bottom/>
      <diagonal/>
    </border>
    <border>
      <left/>
      <right style="thin">
        <color indexed="64"/>
      </right>
      <top/>
      <bottom/>
      <diagonal/>
    </border>
    <border>
      <left style="thin">
        <color indexed="64"/>
      </left>
      <right/>
      <top/>
      <bottom/>
      <diagonal/>
    </border>
    <border>
      <left style="dashDotDot">
        <color indexed="64"/>
      </left>
      <right/>
      <top/>
      <bottom/>
      <diagonal/>
    </border>
    <border>
      <left style="dashDotDot">
        <color indexed="64"/>
      </left>
      <right/>
      <top style="thin">
        <color indexed="64"/>
      </top>
      <bottom style="dashDotDot">
        <color indexed="64"/>
      </bottom>
      <diagonal/>
    </border>
    <border>
      <left style="dashDotDot">
        <color indexed="64"/>
      </left>
      <right/>
      <top style="dashDotDot">
        <color indexed="64"/>
      </top>
      <bottom style="dashDotDot">
        <color indexed="64"/>
      </bottom>
      <diagonal/>
    </border>
    <border>
      <left style="dashDotDot">
        <color indexed="64"/>
      </left>
      <right/>
      <top style="thin">
        <color indexed="64"/>
      </top>
      <bottom/>
      <diagonal/>
    </border>
    <border>
      <left style="dashDotDot">
        <color indexed="64"/>
      </left>
      <right style="dashDotDot">
        <color indexed="64"/>
      </right>
      <top style="dashDotDot">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diagonal/>
    </border>
  </borders>
  <cellStyleXfs count="8">
    <xf numFmtId="0" fontId="0" fillId="0" borderId="0"/>
    <xf numFmtId="0" fontId="23"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20" fillId="0" borderId="0"/>
    <xf numFmtId="0" fontId="20" fillId="2" borderId="0"/>
    <xf numFmtId="0" fontId="36" fillId="0" borderId="0"/>
    <xf numFmtId="0" fontId="38" fillId="3" borderId="1">
      <alignment vertical="center" wrapText="1"/>
    </xf>
    <xf numFmtId="0" fontId="39" fillId="3" borderId="1">
      <alignment vertical="center" wrapText="1"/>
    </xf>
  </cellStyleXfs>
  <cellXfs count="369">
    <xf numFmtId="0" fontId="0" fillId="0" borderId="0" xfId="0"/>
    <xf numFmtId="0" fontId="20" fillId="0" borderId="0" xfId="3" applyProtection="1">
      <protection locked="0"/>
    </xf>
    <xf numFmtId="0" fontId="20" fillId="0" borderId="0" xfId="3" applyAlignment="1" applyProtection="1">
      <alignment vertical="top"/>
      <protection locked="0"/>
    </xf>
    <xf numFmtId="0" fontId="20" fillId="0" borderId="0" xfId="3" applyAlignment="1" applyProtection="1">
      <alignment wrapText="1"/>
      <protection locked="0"/>
    </xf>
    <xf numFmtId="0" fontId="20" fillId="0" borderId="0" xfId="3" applyAlignment="1" applyProtection="1">
      <alignment horizontal="center"/>
      <protection locked="0"/>
    </xf>
    <xf numFmtId="0" fontId="20" fillId="0" borderId="0" xfId="3"/>
    <xf numFmtId="0" fontId="21" fillId="0" borderId="0" xfId="3" applyFont="1" applyAlignment="1">
      <alignment vertical="center" wrapText="1"/>
    </xf>
    <xf numFmtId="0" fontId="0" fillId="0" borderId="1" xfId="0" applyBorder="1"/>
    <xf numFmtId="0" fontId="0" fillId="0" borderId="0" xfId="0" applyAlignment="1">
      <alignment vertical="top"/>
    </xf>
    <xf numFmtId="0" fontId="36" fillId="0" borderId="0" xfId="5" applyAlignment="1">
      <alignment vertical="center" wrapText="1"/>
    </xf>
    <xf numFmtId="0" fontId="40" fillId="0" borderId="0" xfId="5" applyFont="1" applyAlignment="1">
      <alignment vertical="center" wrapText="1"/>
    </xf>
    <xf numFmtId="0" fontId="36" fillId="0" borderId="0" xfId="5" applyAlignment="1">
      <alignment horizontal="left" vertical="center" wrapText="1"/>
    </xf>
    <xf numFmtId="0" fontId="40" fillId="0" borderId="0" xfId="5" applyFont="1" applyAlignment="1">
      <alignment horizontal="center" vertical="center" wrapText="1"/>
    </xf>
    <xf numFmtId="0" fontId="42" fillId="0" borderId="0" xfId="3" applyFont="1" applyAlignment="1" applyProtection="1">
      <alignment horizontal="center" vertical="top" wrapText="1"/>
      <protection locked="0"/>
    </xf>
    <xf numFmtId="0" fontId="21" fillId="0" borderId="4" xfId="0" applyFont="1" applyBorder="1" applyAlignment="1">
      <alignment vertical="center"/>
    </xf>
    <xf numFmtId="0" fontId="21" fillId="0" borderId="0" xfId="0" applyFont="1" applyAlignment="1">
      <alignment vertical="center"/>
    </xf>
    <xf numFmtId="0" fontId="0" fillId="0" borderId="0" xfId="0" applyAlignment="1">
      <alignment horizontal="left" vertical="top"/>
    </xf>
    <xf numFmtId="0" fontId="43" fillId="6" borderId="5" xfId="0" applyFont="1" applyFill="1" applyBorder="1" applyAlignment="1">
      <alignment vertical="center" wrapText="1"/>
    </xf>
    <xf numFmtId="0" fontId="32" fillId="6" borderId="5" xfId="3" applyFont="1" applyFill="1" applyBorder="1" applyAlignment="1" applyProtection="1">
      <alignment horizontal="center" vertical="center" wrapText="1"/>
      <protection locked="0"/>
    </xf>
    <xf numFmtId="0" fontId="20" fillId="3" borderId="0" xfId="3" applyFill="1"/>
    <xf numFmtId="0" fontId="19" fillId="3" borderId="0" xfId="3" applyFont="1" applyFill="1" applyAlignment="1">
      <alignment vertical="center"/>
    </xf>
    <xf numFmtId="0" fontId="20" fillId="3" borderId="0" xfId="3" applyFill="1" applyAlignment="1">
      <alignment vertical="center"/>
    </xf>
    <xf numFmtId="0" fontId="24" fillId="3" borderId="0" xfId="3" applyFont="1" applyFill="1" applyAlignment="1">
      <alignment horizontal="center" vertical="center"/>
    </xf>
    <xf numFmtId="0" fontId="29" fillId="3" borderId="0" xfId="3" applyFont="1" applyFill="1" applyAlignment="1">
      <alignment horizontal="right" vertical="center"/>
    </xf>
    <xf numFmtId="0" fontId="29" fillId="3" borderId="0" xfId="3" applyFont="1" applyFill="1" applyAlignment="1">
      <alignment vertical="center"/>
    </xf>
    <xf numFmtId="0" fontId="29" fillId="3" borderId="0" xfId="3" applyFont="1" applyFill="1" applyAlignment="1">
      <alignment horizontal="left" vertical="center"/>
    </xf>
    <xf numFmtId="0" fontId="30" fillId="3" borderId="0" xfId="3" applyFont="1" applyFill="1"/>
    <xf numFmtId="0" fontId="22" fillId="3" borderId="0" xfId="3" applyFont="1" applyFill="1" applyAlignment="1">
      <alignment wrapText="1"/>
    </xf>
    <xf numFmtId="0" fontId="20" fillId="3" borderId="0" xfId="3" applyFill="1" applyAlignment="1">
      <alignment wrapText="1"/>
    </xf>
    <xf numFmtId="0" fontId="40" fillId="0" borderId="0" xfId="0" applyFont="1"/>
    <xf numFmtId="0" fontId="0" fillId="8" borderId="0" xfId="0" applyFill="1" applyAlignment="1">
      <alignment horizontal="center"/>
    </xf>
    <xf numFmtId="0" fontId="20" fillId="0" borderId="0" xfId="0" applyFont="1"/>
    <xf numFmtId="0" fontId="20" fillId="0" borderId="7" xfId="0" applyFont="1" applyBorder="1"/>
    <xf numFmtId="0" fontId="22" fillId="0" borderId="0" xfId="3" applyFont="1" applyAlignment="1" applyProtection="1">
      <alignment vertical="top" wrapText="1"/>
      <protection locked="0"/>
    </xf>
    <xf numFmtId="0" fontId="33" fillId="0" borderId="0" xfId="3" applyFont="1" applyAlignment="1" applyProtection="1">
      <alignment vertical="top" wrapText="1"/>
      <protection locked="0"/>
    </xf>
    <xf numFmtId="0" fontId="42" fillId="0" borderId="0" xfId="3" applyFont="1" applyAlignment="1" applyProtection="1">
      <alignment vertical="top" wrapText="1"/>
      <protection locked="0"/>
    </xf>
    <xf numFmtId="0" fontId="43" fillId="6" borderId="5" xfId="0" applyFont="1" applyFill="1" applyBorder="1" applyAlignment="1">
      <alignment horizontal="center" vertical="center" wrapText="1"/>
    </xf>
    <xf numFmtId="0" fontId="20" fillId="0" borderId="6" xfId="0" applyFont="1" applyBorder="1" applyAlignment="1">
      <alignment horizontal="center" vertical="center" wrapText="1"/>
    </xf>
    <xf numFmtId="0" fontId="35" fillId="0" borderId="0" xfId="3" applyFont="1" applyAlignment="1" applyProtection="1">
      <alignment vertical="top" wrapText="1"/>
      <protection locked="0"/>
    </xf>
    <xf numFmtId="0" fontId="23" fillId="0" borderId="0" xfId="1" applyAlignment="1" applyProtection="1"/>
    <xf numFmtId="0" fontId="20" fillId="0" borderId="1" xfId="0" applyFont="1" applyBorder="1" applyAlignment="1">
      <alignment vertical="center"/>
    </xf>
    <xf numFmtId="0" fontId="20" fillId="0" borderId="1" xfId="0" applyFont="1" applyBorder="1" applyAlignment="1">
      <alignment vertical="center" wrapText="1"/>
    </xf>
    <xf numFmtId="0" fontId="21" fillId="0" borderId="0" xfId="3" applyFont="1" applyAlignment="1" applyProtection="1">
      <alignment vertical="top" wrapText="1"/>
      <protection locked="0"/>
    </xf>
    <xf numFmtId="0" fontId="40" fillId="4" borderId="2" xfId="5" applyFont="1" applyFill="1" applyBorder="1" applyAlignment="1">
      <alignment horizontal="center" vertical="center" wrapText="1"/>
    </xf>
    <xf numFmtId="0" fontId="40" fillId="4" borderId="1" xfId="5" applyFont="1" applyFill="1" applyBorder="1" applyAlignment="1">
      <alignment horizontal="center" vertical="center" wrapText="1"/>
    </xf>
    <xf numFmtId="0" fontId="18" fillId="3" borderId="2" xfId="5" applyFont="1" applyFill="1" applyBorder="1" applyAlignment="1">
      <alignment vertical="center" wrapText="1"/>
    </xf>
    <xf numFmtId="0" fontId="18" fillId="0" borderId="2" xfId="5" applyFont="1" applyBorder="1" applyAlignment="1">
      <alignment vertical="center" wrapText="1"/>
    </xf>
    <xf numFmtId="0" fontId="45" fillId="0" borderId="0" xfId="3" applyFont="1" applyAlignment="1" applyProtection="1">
      <alignment horizontal="center" vertical="center" wrapText="1"/>
      <protection locked="0"/>
    </xf>
    <xf numFmtId="0" fontId="32" fillId="6" borderId="5" xfId="3" applyFont="1" applyFill="1" applyBorder="1" applyAlignment="1" applyProtection="1">
      <alignment horizontal="center" vertical="center" textRotation="90" wrapText="1"/>
      <protection locked="0"/>
    </xf>
    <xf numFmtId="0" fontId="18" fillId="3" borderId="1" xfId="5" applyFont="1" applyFill="1" applyBorder="1" applyAlignment="1">
      <alignment horizontal="left" vertical="center" wrapText="1"/>
    </xf>
    <xf numFmtId="0" fontId="18" fillId="0" borderId="1" xfId="5" applyFont="1" applyBorder="1" applyAlignment="1">
      <alignment horizontal="left" vertical="center" wrapText="1"/>
    </xf>
    <xf numFmtId="0" fontId="50" fillId="9" borderId="2" xfId="0" applyFont="1" applyFill="1" applyBorder="1" applyAlignment="1">
      <alignment horizontal="center" vertical="center" wrapText="1"/>
    </xf>
    <xf numFmtId="0" fontId="33" fillId="0" borderId="0" xfId="3" applyFont="1" applyAlignment="1" applyProtection="1">
      <alignment horizontal="center" wrapText="1"/>
      <protection locked="0"/>
    </xf>
    <xf numFmtId="0" fontId="15" fillId="3" borderId="2" xfId="5" applyFont="1" applyFill="1" applyBorder="1" applyAlignment="1">
      <alignment vertical="center" wrapText="1"/>
    </xf>
    <xf numFmtId="0" fontId="15" fillId="0" borderId="0" xfId="5" applyFont="1" applyAlignment="1">
      <alignment vertical="center" wrapText="1"/>
    </xf>
    <xf numFmtId="0" fontId="15" fillId="3" borderId="1" xfId="5" applyFont="1" applyFill="1" applyBorder="1" applyAlignment="1">
      <alignment horizontal="left" vertical="center" wrapText="1"/>
    </xf>
    <xf numFmtId="0" fontId="15" fillId="0" borderId="2" xfId="5" applyFont="1" applyBorder="1" applyAlignment="1">
      <alignment horizontal="left" vertical="center" wrapText="1"/>
    </xf>
    <xf numFmtId="0" fontId="15" fillId="0" borderId="1" xfId="5" applyFont="1" applyBorder="1" applyAlignment="1">
      <alignment horizontal="left" vertical="center" wrapText="1"/>
    </xf>
    <xf numFmtId="0" fontId="15" fillId="0" borderId="1" xfId="5" applyFont="1" applyBorder="1" applyAlignment="1">
      <alignment horizontal="left" vertical="center"/>
    </xf>
    <xf numFmtId="0" fontId="19" fillId="0" borderId="0" xfId="0" applyFont="1"/>
    <xf numFmtId="0" fontId="14" fillId="0" borderId="1" xfId="5" applyFont="1" applyBorder="1" applyAlignment="1">
      <alignment vertical="center" wrapText="1"/>
    </xf>
    <xf numFmtId="0" fontId="14" fillId="0" borderId="2" xfId="5" applyFont="1" applyBorder="1" applyAlignment="1">
      <alignment vertical="center" wrapText="1"/>
    </xf>
    <xf numFmtId="0" fontId="14" fillId="3" borderId="2" xfId="5" applyFont="1" applyFill="1" applyBorder="1" applyAlignment="1">
      <alignment vertical="center" wrapText="1"/>
    </xf>
    <xf numFmtId="0" fontId="20" fillId="0" borderId="4" xfId="0" applyFont="1" applyBorder="1" applyAlignment="1">
      <alignment horizontal="center" vertical="center" wrapText="1"/>
    </xf>
    <xf numFmtId="0" fontId="50" fillId="5" borderId="2" xfId="0" applyFont="1" applyFill="1" applyBorder="1" applyAlignment="1">
      <alignment horizontal="center" vertical="center" wrapText="1"/>
    </xf>
    <xf numFmtId="0" fontId="33" fillId="0" borderId="0" xfId="0" applyFont="1" applyAlignment="1">
      <alignment horizontal="center" wrapText="1"/>
    </xf>
    <xf numFmtId="0" fontId="0" fillId="0" borderId="0" xfId="0" applyAlignment="1">
      <alignment horizontal="center" vertical="center"/>
    </xf>
    <xf numFmtId="0" fontId="19" fillId="0" borderId="13" xfId="0" applyFont="1" applyBorder="1" applyAlignment="1">
      <alignment horizontal="center" wrapText="1"/>
    </xf>
    <xf numFmtId="0" fontId="35" fillId="0" borderId="2" xfId="0" applyFont="1" applyBorder="1" applyAlignment="1">
      <alignment horizontal="center" vertical="center" wrapText="1"/>
    </xf>
    <xf numFmtId="0" fontId="35" fillId="0" borderId="14" xfId="0" applyFont="1" applyBorder="1" applyAlignment="1">
      <alignment horizontal="center" vertical="center" wrapText="1"/>
    </xf>
    <xf numFmtId="0" fontId="19" fillId="0" borderId="13" xfId="3" applyFont="1" applyBorder="1" applyAlignment="1" applyProtection="1">
      <alignment horizontal="center" wrapText="1"/>
      <protection locked="0"/>
    </xf>
    <xf numFmtId="0" fontId="19" fillId="0" borderId="0" xfId="0" applyFont="1" applyAlignment="1">
      <alignment horizontal="center" wrapText="1"/>
    </xf>
    <xf numFmtId="0" fontId="35" fillId="0" borderId="2" xfId="0" applyFont="1" applyBorder="1" applyAlignment="1">
      <alignment horizontal="center" vertical="center"/>
    </xf>
    <xf numFmtId="0" fontId="53" fillId="0" borderId="0" xfId="0" applyFont="1" applyAlignment="1">
      <alignment vertical="center"/>
    </xf>
    <xf numFmtId="0" fontId="0" fillId="0" borderId="0" xfId="0" applyAlignment="1">
      <alignment wrapText="1"/>
    </xf>
    <xf numFmtId="0" fontId="54" fillId="0" borderId="0" xfId="0" applyFont="1"/>
    <xf numFmtId="0" fontId="54" fillId="0" borderId="0" xfId="0" applyFont="1" applyAlignment="1">
      <alignment vertical="top"/>
    </xf>
    <xf numFmtId="0" fontId="54" fillId="0" borderId="0" xfId="0" applyFont="1" applyAlignment="1">
      <alignment horizontal="center"/>
    </xf>
    <xf numFmtId="0" fontId="54" fillId="0" borderId="0" xfId="0" applyFont="1" applyAlignment="1">
      <alignment wrapText="1"/>
    </xf>
    <xf numFmtId="0" fontId="0" fillId="0" borderId="0" xfId="0" applyAlignment="1">
      <alignment horizontal="right"/>
    </xf>
    <xf numFmtId="0" fontId="42" fillId="0" borderId="0" xfId="3" applyFont="1" applyAlignment="1" applyProtection="1">
      <alignment horizontal="right" vertical="top" wrapText="1"/>
      <protection locked="0"/>
    </xf>
    <xf numFmtId="0" fontId="54" fillId="0" borderId="0" xfId="0" applyFont="1" applyAlignment="1">
      <alignment horizontal="right"/>
    </xf>
    <xf numFmtId="0" fontId="0" fillId="0" borderId="0" xfId="0" applyAlignment="1">
      <alignment horizontal="right" wrapText="1"/>
    </xf>
    <xf numFmtId="0" fontId="19" fillId="0" borderId="24" xfId="3" applyFont="1" applyBorder="1" applyAlignment="1">
      <alignment vertical="center"/>
    </xf>
    <xf numFmtId="0" fontId="19" fillId="0" borderId="0" xfId="3" applyFont="1" applyAlignment="1">
      <alignment vertical="center"/>
    </xf>
    <xf numFmtId="0" fontId="22" fillId="0" borderId="6" xfId="0" applyFont="1" applyBorder="1" applyAlignment="1">
      <alignment horizontal="center" vertical="center" wrapText="1"/>
    </xf>
    <xf numFmtId="0" fontId="22" fillId="0" borderId="4" xfId="0" applyFont="1" applyBorder="1" applyAlignment="1">
      <alignment horizontal="center" vertical="center" wrapText="1"/>
    </xf>
    <xf numFmtId="0" fontId="54" fillId="0" borderId="0" xfId="0" applyFont="1" applyAlignment="1">
      <alignment horizontal="left" vertical="top"/>
    </xf>
    <xf numFmtId="0" fontId="54" fillId="0" borderId="0" xfId="0" applyFont="1" applyAlignment="1">
      <alignment horizontal="right" wrapText="1"/>
    </xf>
    <xf numFmtId="0" fontId="22" fillId="7" borderId="25" xfId="3" applyFont="1" applyFill="1" applyBorder="1" applyAlignment="1">
      <alignment vertical="center"/>
    </xf>
    <xf numFmtId="0" fontId="22" fillId="7" borderId="0" xfId="3" applyFont="1" applyFill="1" applyAlignment="1">
      <alignment vertical="center"/>
    </xf>
    <xf numFmtId="0" fontId="53" fillId="0" borderId="0" xfId="0" applyFont="1"/>
    <xf numFmtId="0" fontId="22" fillId="0" borderId="0" xfId="0" applyFont="1" applyAlignment="1">
      <alignment vertical="top" wrapText="1"/>
    </xf>
    <xf numFmtId="0" fontId="53" fillId="0" borderId="2" xfId="0" applyFont="1" applyBorder="1"/>
    <xf numFmtId="0" fontId="53" fillId="0" borderId="2" xfId="0" applyFont="1" applyBorder="1" applyAlignment="1">
      <alignment horizontal="left" vertical="top" wrapText="1"/>
    </xf>
    <xf numFmtId="0" fontId="22" fillId="3" borderId="4" xfId="0" applyFont="1" applyFill="1" applyBorder="1" applyAlignment="1">
      <alignment vertical="top" wrapText="1"/>
    </xf>
    <xf numFmtId="0" fontId="22" fillId="3" borderId="4" xfId="0" applyFont="1" applyFill="1" applyBorder="1" applyAlignment="1">
      <alignment horizontal="center" vertical="top" wrapText="1"/>
    </xf>
    <xf numFmtId="0" fontId="53" fillId="3" borderId="4" xfId="0" applyFont="1" applyFill="1" applyBorder="1" applyAlignment="1">
      <alignment vertical="top" wrapText="1"/>
    </xf>
    <xf numFmtId="0" fontId="20" fillId="0" borderId="0" xfId="0" applyFont="1" applyAlignment="1">
      <alignment vertical="top" wrapText="1"/>
    </xf>
    <xf numFmtId="0" fontId="22" fillId="0" borderId="3" xfId="0" applyFont="1" applyBorder="1" applyAlignment="1">
      <alignment horizontal="center" vertical="center" wrapText="1"/>
    </xf>
    <xf numFmtId="0" fontId="22" fillId="0" borderId="2" xfId="0" applyFont="1" applyBorder="1" applyAlignment="1">
      <alignment vertical="top" wrapText="1"/>
    </xf>
    <xf numFmtId="0" fontId="53" fillId="0" borderId="2" xfId="0" applyFont="1" applyBorder="1" applyAlignment="1">
      <alignment vertical="top" wrapText="1"/>
    </xf>
    <xf numFmtId="0" fontId="57" fillId="0" borderId="2" xfId="0" applyFont="1" applyBorder="1" applyAlignment="1">
      <alignment vertical="top" wrapText="1"/>
    </xf>
    <xf numFmtId="0" fontId="58" fillId="0" borderId="0" xfId="0" applyFont="1"/>
    <xf numFmtId="0" fontId="20" fillId="0" borderId="2" xfId="3" applyBorder="1" applyAlignment="1" applyProtection="1">
      <alignment horizontal="center" vertical="top" wrapText="1"/>
      <protection locked="0"/>
    </xf>
    <xf numFmtId="0" fontId="21" fillId="0" borderId="2" xfId="0" applyFont="1" applyBorder="1" applyAlignment="1">
      <alignment horizontal="center" vertical="top" wrapText="1"/>
    </xf>
    <xf numFmtId="0" fontId="21" fillId="0" borderId="4" xfId="3" applyFont="1" applyBorder="1" applyAlignment="1">
      <alignment horizontal="center" vertical="top" wrapText="1"/>
    </xf>
    <xf numFmtId="0" fontId="20" fillId="7" borderId="25" xfId="3" applyFill="1" applyBorder="1" applyAlignment="1">
      <alignment horizontal="left" vertical="center" wrapText="1"/>
    </xf>
    <xf numFmtId="0" fontId="20" fillId="7" borderId="0" xfId="3" applyFill="1" applyAlignment="1">
      <alignment horizontal="left" vertical="center" wrapText="1"/>
    </xf>
    <xf numFmtId="0" fontId="20" fillId="7" borderId="0" xfId="3" applyFill="1" applyAlignment="1">
      <alignment horizontal="center" vertical="center" wrapText="1"/>
    </xf>
    <xf numFmtId="0" fontId="20" fillId="7" borderId="0" xfId="3" applyFill="1" applyAlignment="1">
      <alignment wrapText="1"/>
    </xf>
    <xf numFmtId="0" fontId="20" fillId="0" borderId="0" xfId="3" applyAlignment="1">
      <alignment horizontal="center"/>
    </xf>
    <xf numFmtId="0" fontId="20" fillId="7" borderId="0" xfId="3" applyFill="1" applyAlignment="1">
      <alignment vertical="center" wrapText="1"/>
    </xf>
    <xf numFmtId="0" fontId="20" fillId="7" borderId="0" xfId="3" applyFill="1" applyAlignment="1">
      <alignment horizontal="right" vertical="center" wrapText="1"/>
    </xf>
    <xf numFmtId="0" fontId="20" fillId="7" borderId="9" xfId="3" applyFill="1" applyBorder="1" applyAlignment="1">
      <alignment vertical="center" wrapText="1"/>
    </xf>
    <xf numFmtId="0" fontId="19" fillId="7" borderId="13" xfId="3" applyFont="1" applyFill="1" applyBorder="1" applyAlignment="1">
      <alignment vertical="center" wrapText="1"/>
    </xf>
    <xf numFmtId="0" fontId="20" fillId="0" borderId="8" xfId="3" applyBorder="1"/>
    <xf numFmtId="0" fontId="20" fillId="7" borderId="24" xfId="3" applyFill="1" applyBorder="1" applyAlignment="1">
      <alignment horizontal="center" vertical="center" wrapText="1"/>
    </xf>
    <xf numFmtId="0" fontId="19" fillId="7" borderId="25" xfId="3" applyFont="1" applyFill="1" applyBorder="1" applyAlignment="1">
      <alignment horizontal="right" vertical="center" wrapText="1"/>
    </xf>
    <xf numFmtId="0" fontId="19" fillId="7" borderId="0" xfId="3" applyFont="1" applyFill="1" applyAlignment="1">
      <alignment horizontal="right" vertical="center" wrapText="1"/>
    </xf>
    <xf numFmtId="0" fontId="20" fillId="7" borderId="24" xfId="3" applyFill="1" applyBorder="1" applyAlignment="1">
      <alignment vertical="center" wrapText="1"/>
    </xf>
    <xf numFmtId="0" fontId="20" fillId="0" borderId="0" xfId="3" applyAlignment="1">
      <alignment horizontal="right"/>
    </xf>
    <xf numFmtId="0" fontId="20" fillId="7" borderId="0" xfId="3" applyFill="1" applyAlignment="1">
      <alignment horizontal="right"/>
    </xf>
    <xf numFmtId="0" fontId="20" fillId="7" borderId="25" xfId="3" applyFill="1" applyBorder="1" applyAlignment="1">
      <alignment wrapText="1"/>
    </xf>
    <xf numFmtId="0" fontId="20" fillId="7" borderId="0" xfId="3" applyFill="1"/>
    <xf numFmtId="0" fontId="19" fillId="7" borderId="9" xfId="3" applyFont="1" applyFill="1" applyBorder="1" applyAlignment="1">
      <alignment vertical="center" wrapText="1"/>
    </xf>
    <xf numFmtId="0" fontId="19" fillId="7" borderId="11" xfId="3" applyFont="1" applyFill="1" applyBorder="1" applyAlignment="1">
      <alignment vertical="center"/>
    </xf>
    <xf numFmtId="0" fontId="20" fillId="7" borderId="9" xfId="3" applyFill="1" applyBorder="1" applyAlignment="1">
      <alignment horizontal="right" vertical="center"/>
    </xf>
    <xf numFmtId="0" fontId="20" fillId="7" borderId="9" xfId="3" applyFill="1" applyBorder="1" applyAlignment="1">
      <alignment horizontal="right"/>
    </xf>
    <xf numFmtId="0" fontId="20" fillId="7" borderId="12" xfId="3" applyFill="1" applyBorder="1" applyAlignment="1">
      <alignment vertical="center" wrapText="1"/>
    </xf>
    <xf numFmtId="0" fontId="20" fillId="0" borderId="9" xfId="3" applyBorder="1" applyAlignment="1">
      <alignment horizontal="right" vertical="center"/>
    </xf>
    <xf numFmtId="0" fontId="19" fillId="7" borderId="13" xfId="3" applyFont="1" applyFill="1" applyBorder="1" applyAlignment="1">
      <alignment horizontal="right" vertical="center"/>
    </xf>
    <xf numFmtId="0" fontId="48" fillId="7" borderId="29" xfId="3" applyFont="1" applyFill="1" applyBorder="1" applyAlignment="1">
      <alignment vertical="center"/>
    </xf>
    <xf numFmtId="0" fontId="48" fillId="7" borderId="13" xfId="3" applyFont="1" applyFill="1" applyBorder="1" applyAlignment="1">
      <alignment vertical="center"/>
    </xf>
    <xf numFmtId="0" fontId="20" fillId="0" borderId="0" xfId="0" applyFont="1" applyAlignment="1">
      <alignment horizontal="right" vertical="top"/>
    </xf>
    <xf numFmtId="164" fontId="19" fillId="7" borderId="30" xfId="3" applyNumberFormat="1" applyFont="1" applyFill="1" applyBorder="1" applyAlignment="1">
      <alignment vertical="center" wrapText="1"/>
    </xf>
    <xf numFmtId="164" fontId="0" fillId="0" borderId="0" xfId="0" applyNumberFormat="1" applyAlignment="1">
      <alignment horizontal="left" vertical="top"/>
    </xf>
    <xf numFmtId="0" fontId="32" fillId="0" borderId="0" xfId="0" applyFont="1" applyAlignment="1">
      <alignment vertical="center" wrapText="1"/>
    </xf>
    <xf numFmtId="0" fontId="21" fillId="0" borderId="0" xfId="0" applyFont="1" applyAlignment="1">
      <alignment horizontal="left" vertical="top" wrapText="1"/>
    </xf>
    <xf numFmtId="0" fontId="20" fillId="0" borderId="0" xfId="3" applyAlignment="1" applyProtection="1">
      <alignment horizontal="center" vertical="top" wrapText="1"/>
      <protection locked="0"/>
    </xf>
    <xf numFmtId="0" fontId="21" fillId="0" borderId="0" xfId="0" applyFont="1" applyAlignment="1">
      <alignment horizontal="center" vertical="top" wrapText="1"/>
    </xf>
    <xf numFmtId="0" fontId="21" fillId="0" borderId="0" xfId="0" applyFont="1" applyAlignment="1">
      <alignment vertical="top" wrapText="1"/>
    </xf>
    <xf numFmtId="0" fontId="26" fillId="0" borderId="0" xfId="3" applyFont="1" applyAlignment="1" applyProtection="1">
      <alignment horizontal="center" vertical="top" wrapText="1"/>
      <protection locked="0"/>
    </xf>
    <xf numFmtId="0" fontId="21" fillId="0" borderId="0" xfId="3" applyFont="1" applyAlignment="1">
      <alignment horizontal="center" vertical="top" wrapText="1"/>
    </xf>
    <xf numFmtId="0" fontId="13" fillId="3" borderId="2" xfId="5" applyFont="1" applyFill="1" applyBorder="1" applyAlignment="1">
      <alignment vertical="center" wrapText="1"/>
    </xf>
    <xf numFmtId="0" fontId="19" fillId="3" borderId="2" xfId="3" applyFont="1" applyFill="1" applyBorder="1" applyAlignment="1">
      <alignment horizontal="center" vertical="center"/>
    </xf>
    <xf numFmtId="0" fontId="19" fillId="3" borderId="2" xfId="3" applyFont="1" applyFill="1" applyBorder="1" applyAlignment="1">
      <alignment horizontal="center" vertical="center" wrapText="1"/>
    </xf>
    <xf numFmtId="0" fontId="47" fillId="7" borderId="2" xfId="3" applyFont="1" applyFill="1" applyBorder="1" applyAlignment="1">
      <alignment horizontal="center" vertical="center"/>
    </xf>
    <xf numFmtId="0" fontId="47" fillId="7" borderId="2" xfId="3" applyFont="1" applyFill="1" applyBorder="1" applyAlignment="1">
      <alignment horizontal="center" vertical="center" wrapText="1"/>
    </xf>
    <xf numFmtId="0" fontId="50" fillId="10" borderId="2" xfId="0" applyFont="1" applyFill="1" applyBorder="1" applyAlignment="1">
      <alignment horizontal="center" vertical="center" wrapText="1"/>
    </xf>
    <xf numFmtId="0" fontId="50" fillId="10" borderId="2" xfId="0" applyFont="1" applyFill="1" applyBorder="1" applyAlignment="1">
      <alignment horizontal="center" vertical="center"/>
    </xf>
    <xf numFmtId="0" fontId="12" fillId="0" borderId="2" xfId="5" applyFont="1" applyBorder="1" applyAlignment="1">
      <alignment vertical="center" wrapText="1"/>
    </xf>
    <xf numFmtId="0" fontId="12" fillId="3" borderId="2" xfId="5" applyFont="1" applyFill="1" applyBorder="1" applyAlignment="1">
      <alignment vertical="center" wrapText="1"/>
    </xf>
    <xf numFmtId="0" fontId="21" fillId="0" borderId="15" xfId="0" applyFont="1" applyBorder="1" applyAlignment="1">
      <alignment horizontal="left" vertical="top" wrapText="1"/>
    </xf>
    <xf numFmtId="0" fontId="43" fillId="6" borderId="21" xfId="0" applyFont="1" applyFill="1" applyBorder="1" applyAlignment="1">
      <alignment horizontal="center" vertical="center" wrapText="1"/>
    </xf>
    <xf numFmtId="0" fontId="11" fillId="3" borderId="2" xfId="5" applyFont="1" applyFill="1" applyBorder="1" applyAlignment="1">
      <alignment vertical="center" wrapText="1"/>
    </xf>
    <xf numFmtId="0" fontId="47" fillId="7" borderId="14" xfId="3" applyFont="1" applyFill="1" applyBorder="1" applyAlignment="1">
      <alignment horizontal="left" vertical="center" wrapText="1"/>
    </xf>
    <xf numFmtId="0" fontId="47" fillId="7" borderId="15" xfId="3" applyFont="1" applyFill="1" applyBorder="1" applyAlignment="1">
      <alignment horizontal="left" vertical="center" wrapText="1"/>
    </xf>
    <xf numFmtId="0" fontId="47" fillId="7" borderId="6" xfId="3" applyFont="1" applyFill="1" applyBorder="1" applyAlignment="1">
      <alignment horizontal="left" vertical="center" wrapText="1"/>
    </xf>
    <xf numFmtId="0" fontId="53" fillId="3" borderId="8" xfId="0" applyFont="1" applyFill="1" applyBorder="1" applyAlignment="1">
      <alignment horizontal="left" vertical="top" wrapText="1"/>
    </xf>
    <xf numFmtId="0" fontId="9" fillId="3" borderId="2" xfId="5" applyFont="1" applyFill="1" applyBorder="1" applyAlignment="1">
      <alignment vertical="center" wrapText="1"/>
    </xf>
    <xf numFmtId="0" fontId="9" fillId="0" borderId="1" xfId="5" applyFont="1" applyBorder="1" applyAlignment="1">
      <alignment horizontal="left" vertical="center"/>
    </xf>
    <xf numFmtId="0" fontId="9" fillId="3" borderId="2" xfId="5" applyFont="1" applyFill="1" applyBorder="1" applyAlignment="1">
      <alignment horizontal="left" vertical="center" wrapText="1"/>
    </xf>
    <xf numFmtId="0" fontId="22" fillId="3" borderId="8" xfId="0" applyFont="1" applyFill="1" applyBorder="1" applyAlignment="1">
      <alignment horizontal="center" vertical="top" wrapText="1"/>
    </xf>
    <xf numFmtId="0" fontId="20" fillId="7" borderId="0" xfId="3" applyFill="1" applyAlignment="1">
      <alignment horizontal="left"/>
    </xf>
    <xf numFmtId="0" fontId="20" fillId="0" borderId="0" xfId="3" applyAlignment="1">
      <alignment horizontal="left"/>
    </xf>
    <xf numFmtId="0" fontId="19" fillId="7" borderId="25" xfId="3" applyFont="1" applyFill="1" applyBorder="1" applyAlignment="1">
      <alignment horizontal="left"/>
    </xf>
    <xf numFmtId="0" fontId="19" fillId="7" borderId="0" xfId="3" applyFont="1" applyFill="1" applyAlignment="1">
      <alignment horizontal="left"/>
    </xf>
    <xf numFmtId="164" fontId="20" fillId="7" borderId="28" xfId="3" applyNumberFormat="1" applyFill="1" applyBorder="1" applyAlignment="1">
      <alignment horizontal="left" wrapText="1"/>
    </xf>
    <xf numFmtId="0" fontId="48" fillId="7" borderId="26" xfId="3" applyFont="1" applyFill="1" applyBorder="1" applyAlignment="1">
      <alignment horizontal="left"/>
    </xf>
    <xf numFmtId="0" fontId="20" fillId="7" borderId="24" xfId="3" applyFill="1" applyBorder="1" applyAlignment="1">
      <alignment horizontal="left"/>
    </xf>
    <xf numFmtId="0" fontId="31" fillId="7" borderId="2" xfId="3" applyFont="1" applyFill="1" applyBorder="1" applyAlignment="1">
      <alignment vertical="center"/>
    </xf>
    <xf numFmtId="0" fontId="31" fillId="7" borderId="14" xfId="3" applyFont="1" applyFill="1" applyBorder="1" applyAlignment="1">
      <alignment vertical="center"/>
    </xf>
    <xf numFmtId="0" fontId="31" fillId="7" borderId="15" xfId="3" applyFont="1" applyFill="1" applyBorder="1" applyAlignment="1">
      <alignment vertical="center"/>
    </xf>
    <xf numFmtId="0" fontId="31" fillId="7" borderId="6" xfId="3" applyFont="1" applyFill="1" applyBorder="1" applyAlignment="1">
      <alignment vertical="center"/>
    </xf>
    <xf numFmtId="0" fontId="31" fillId="7" borderId="6" xfId="3" applyFont="1" applyFill="1" applyBorder="1" applyAlignment="1">
      <alignment horizontal="left" vertical="center"/>
    </xf>
    <xf numFmtId="0" fontId="22" fillId="3" borderId="3" xfId="0" applyFont="1" applyFill="1" applyBorder="1" applyAlignment="1">
      <alignment vertical="top" wrapText="1"/>
    </xf>
    <xf numFmtId="0" fontId="22" fillId="3" borderId="3" xfId="0" applyFont="1" applyFill="1" applyBorder="1" applyAlignment="1">
      <alignment horizontal="center" vertical="top" wrapText="1"/>
    </xf>
    <xf numFmtId="0" fontId="22" fillId="3" borderId="3" xfId="0" applyFont="1" applyFill="1" applyBorder="1" applyAlignment="1">
      <alignment horizontal="left" vertical="top" wrapText="1"/>
    </xf>
    <xf numFmtId="0" fontId="53" fillId="0" borderId="2" xfId="0" applyFont="1" applyBorder="1" applyAlignment="1">
      <alignment horizontal="center" vertical="top"/>
    </xf>
    <xf numFmtId="0" fontId="32" fillId="0" borderId="2" xfId="0" applyFont="1" applyBorder="1" applyAlignment="1">
      <alignment vertical="top" wrapText="1"/>
    </xf>
    <xf numFmtId="0" fontId="35" fillId="0" borderId="6" xfId="0" applyFont="1" applyBorder="1" applyAlignment="1">
      <alignment horizontal="center" vertical="center" wrapText="1"/>
    </xf>
    <xf numFmtId="0" fontId="40" fillId="4" borderId="4" xfId="5" applyFont="1" applyFill="1" applyBorder="1" applyAlignment="1">
      <alignment horizontal="center" vertical="center" wrapText="1"/>
    </xf>
    <xf numFmtId="0" fontId="20" fillId="0" borderId="0" xfId="0" applyFont="1" applyAlignment="1">
      <alignment horizontal="center" vertical="center" wrapText="1"/>
    </xf>
    <xf numFmtId="0" fontId="50" fillId="0" borderId="0" xfId="0" applyFont="1" applyAlignment="1">
      <alignment horizontal="center" vertical="center" wrapText="1"/>
    </xf>
    <xf numFmtId="0" fontId="35" fillId="0" borderId="0" xfId="0" applyFont="1" applyAlignment="1">
      <alignment vertical="top" wrapText="1"/>
    </xf>
    <xf numFmtId="0" fontId="7" fillId="3" borderId="3" xfId="5" applyFont="1" applyFill="1" applyBorder="1" applyAlignment="1">
      <alignment horizontal="left" vertical="center" wrapText="1"/>
    </xf>
    <xf numFmtId="0" fontId="18" fillId="3" borderId="1" xfId="5" applyFont="1" applyFill="1" applyBorder="1" applyAlignment="1">
      <alignment vertical="center" wrapText="1"/>
    </xf>
    <xf numFmtId="0" fontId="16" fillId="3" borderId="2" xfId="5" applyFont="1" applyFill="1" applyBorder="1" applyAlignment="1">
      <alignment vertical="center" wrapText="1"/>
    </xf>
    <xf numFmtId="0" fontId="10" fillId="3" borderId="2" xfId="5" applyFont="1" applyFill="1" applyBorder="1" applyAlignment="1">
      <alignment vertical="center" wrapText="1"/>
    </xf>
    <xf numFmtId="0" fontId="41" fillId="3" borderId="1" xfId="0" applyFont="1" applyFill="1" applyBorder="1" applyAlignment="1">
      <alignment horizontal="left" vertical="top" wrapText="1"/>
    </xf>
    <xf numFmtId="0" fontId="41" fillId="3" borderId="2" xfId="0" applyFont="1" applyFill="1" applyBorder="1" applyAlignment="1">
      <alignment vertical="top" wrapText="1"/>
    </xf>
    <xf numFmtId="0" fontId="18" fillId="0" borderId="2" xfId="5" applyFont="1" applyBorder="1" applyAlignment="1">
      <alignment horizontal="left" vertical="center" wrapText="1"/>
    </xf>
    <xf numFmtId="0" fontId="15" fillId="0" borderId="2" xfId="5" applyFont="1" applyBorder="1" applyAlignment="1">
      <alignment vertical="center" wrapText="1"/>
    </xf>
    <xf numFmtId="0" fontId="17" fillId="0" borderId="2" xfId="5" applyFont="1" applyBorder="1" applyAlignment="1">
      <alignment vertical="center" wrapText="1"/>
    </xf>
    <xf numFmtId="0" fontId="8" fillId="0" borderId="2" xfId="5" applyFont="1" applyBorder="1" applyAlignment="1">
      <alignment vertical="center" wrapText="1"/>
    </xf>
    <xf numFmtId="0" fontId="20" fillId="11" borderId="31"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1" borderId="32"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2"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1" borderId="33" xfId="0" applyFont="1" applyFill="1" applyBorder="1" applyAlignment="1">
      <alignment horizontal="center" vertical="center" wrapText="1"/>
    </xf>
    <xf numFmtId="0" fontId="54" fillId="0" borderId="34" xfId="0" applyFont="1" applyBorder="1"/>
    <xf numFmtId="0" fontId="33" fillId="0" borderId="0" xfId="0" applyFont="1"/>
    <xf numFmtId="0" fontId="33" fillId="0" borderId="0" xfId="0" applyFont="1" applyAlignment="1">
      <alignment vertical="top"/>
    </xf>
    <xf numFmtId="0" fontId="20" fillId="11" borderId="2" xfId="0" applyFont="1" applyFill="1" applyBorder="1" applyAlignment="1">
      <alignment horizontal="center" vertical="center" wrapText="1"/>
    </xf>
    <xf numFmtId="0" fontId="20" fillId="0" borderId="0" xfId="0" applyFont="1" applyAlignment="1">
      <alignment vertical="center" wrapText="1"/>
    </xf>
    <xf numFmtId="0" fontId="19" fillId="11" borderId="2" xfId="0" applyFont="1" applyFill="1" applyBorder="1" applyAlignment="1">
      <alignment horizontal="center" vertical="center" wrapText="1"/>
    </xf>
    <xf numFmtId="0" fontId="19" fillId="12" borderId="2" xfId="0" applyFont="1" applyFill="1" applyBorder="1" applyAlignment="1">
      <alignment horizontal="center" vertical="center" wrapText="1"/>
    </xf>
    <xf numFmtId="0" fontId="64" fillId="9" borderId="2" xfId="0" applyFont="1" applyFill="1" applyBorder="1" applyAlignment="1">
      <alignment horizontal="center" vertical="center" wrapText="1"/>
    </xf>
    <xf numFmtId="0" fontId="64" fillId="5" borderId="2" xfId="0" applyFont="1" applyFill="1" applyBorder="1" applyAlignment="1">
      <alignment horizontal="center" vertical="center" wrapText="1"/>
    </xf>
    <xf numFmtId="0" fontId="64" fillId="10" borderId="2" xfId="0" applyFont="1" applyFill="1" applyBorder="1" applyAlignment="1">
      <alignment horizontal="center" vertical="center" wrapText="1"/>
    </xf>
    <xf numFmtId="0" fontId="55" fillId="0" borderId="0" xfId="0" applyFont="1" applyAlignment="1">
      <alignment vertical="top"/>
    </xf>
    <xf numFmtId="0" fontId="65" fillId="11" borderId="31" xfId="0" applyFont="1" applyFill="1" applyBorder="1" applyAlignment="1">
      <alignment horizontal="left" vertical="top" wrapText="1"/>
    </xf>
    <xf numFmtId="0" fontId="65" fillId="12" borderId="12" xfId="0" applyFont="1" applyFill="1" applyBorder="1" applyAlignment="1">
      <alignment horizontal="left" vertical="top" wrapText="1"/>
    </xf>
    <xf numFmtId="0" fontId="66" fillId="9" borderId="2" xfId="0" applyFont="1" applyFill="1" applyBorder="1" applyAlignment="1">
      <alignment horizontal="left" vertical="top" wrapText="1"/>
    </xf>
    <xf numFmtId="0" fontId="66" fillId="5" borderId="2" xfId="0" applyFont="1" applyFill="1" applyBorder="1" applyAlignment="1">
      <alignment horizontal="left" vertical="top" wrapText="1"/>
    </xf>
    <xf numFmtId="0" fontId="66" fillId="10" borderId="2" xfId="0" applyFont="1" applyFill="1" applyBorder="1" applyAlignment="1">
      <alignment horizontal="left" vertical="top" wrapText="1"/>
    </xf>
    <xf numFmtId="0" fontId="65" fillId="11" borderId="32" xfId="0" applyFont="1" applyFill="1" applyBorder="1" applyAlignment="1">
      <alignment horizontal="left" vertical="top" wrapText="1"/>
    </xf>
    <xf numFmtId="0" fontId="65" fillId="12" borderId="6" xfId="0" applyFont="1" applyFill="1" applyBorder="1" applyAlignment="1">
      <alignment horizontal="left" vertical="top" wrapText="1"/>
    </xf>
    <xf numFmtId="0" fontId="65" fillId="12" borderId="2" xfId="0" applyFont="1" applyFill="1" applyBorder="1" applyAlignment="1">
      <alignment horizontal="left" vertical="top" wrapText="1"/>
    </xf>
    <xf numFmtId="0" fontId="66" fillId="12" borderId="1" xfId="0" applyFont="1" applyFill="1" applyBorder="1" applyAlignment="1">
      <alignment horizontal="left" vertical="top" wrapText="1"/>
    </xf>
    <xf numFmtId="0" fontId="65" fillId="11" borderId="33" xfId="0" applyFont="1" applyFill="1" applyBorder="1" applyAlignment="1">
      <alignment horizontal="left" vertical="top" wrapText="1"/>
    </xf>
    <xf numFmtId="0" fontId="65" fillId="12" borderId="1" xfId="0" applyFont="1" applyFill="1" applyBorder="1" applyAlignment="1">
      <alignment horizontal="left" vertical="top" wrapText="1"/>
    </xf>
    <xf numFmtId="0" fontId="20" fillId="7" borderId="13" xfId="3" applyFill="1" applyBorder="1" applyAlignment="1">
      <alignment vertical="center" wrapText="1"/>
    </xf>
    <xf numFmtId="0" fontId="20" fillId="7" borderId="7" xfId="3" applyFill="1" applyBorder="1" applyAlignment="1">
      <alignment vertical="center" wrapText="1"/>
    </xf>
    <xf numFmtId="0" fontId="27" fillId="0" borderId="0" xfId="3" applyFont="1" applyAlignment="1">
      <alignment horizontal="center" vertical="center"/>
    </xf>
    <xf numFmtId="0" fontId="19" fillId="0" borderId="0" xfId="3" applyFont="1" applyAlignment="1">
      <alignment horizontal="left" vertical="center"/>
    </xf>
    <xf numFmtId="0" fontId="20" fillId="0" borderId="0" xfId="3" applyAlignment="1">
      <alignment vertical="center"/>
    </xf>
    <xf numFmtId="0" fontId="20" fillId="0" borderId="0" xfId="3" applyAlignment="1">
      <alignment vertical="center" wrapText="1"/>
    </xf>
    <xf numFmtId="0" fontId="20" fillId="0" borderId="0" xfId="3" applyAlignment="1">
      <alignment horizontal="center" vertical="center" wrapText="1"/>
    </xf>
    <xf numFmtId="0" fontId="20" fillId="0" borderId="0" xfId="3" applyAlignment="1">
      <alignment horizontal="left" vertical="center"/>
    </xf>
    <xf numFmtId="0" fontId="44" fillId="0" borderId="0" xfId="3" applyFont="1" applyAlignment="1">
      <alignment horizontal="left" vertical="top" wrapText="1"/>
    </xf>
    <xf numFmtId="0" fontId="19" fillId="0" borderId="0" xfId="3" applyFont="1" applyAlignment="1">
      <alignment horizontal="center" vertical="center" wrapText="1"/>
    </xf>
    <xf numFmtId="0" fontId="47" fillId="0" borderId="0" xfId="3" applyFont="1" applyAlignment="1">
      <alignment horizontal="center" vertical="center" wrapText="1"/>
    </xf>
    <xf numFmtId="0" fontId="31" fillId="0" borderId="0" xfId="3" applyFont="1" applyAlignment="1">
      <alignment vertical="center"/>
    </xf>
    <xf numFmtId="49" fontId="31" fillId="0" borderId="0" xfId="3" applyNumberFormat="1" applyFont="1" applyAlignment="1">
      <alignment vertical="center"/>
    </xf>
    <xf numFmtId="0" fontId="6" fillId="3" borderId="1" xfId="5" applyFont="1" applyFill="1" applyBorder="1" applyAlignment="1">
      <alignment horizontal="left" vertical="center" wrapText="1"/>
    </xf>
    <xf numFmtId="0" fontId="20" fillId="8" borderId="0" xfId="0" applyFont="1" applyFill="1" applyAlignment="1">
      <alignment horizontal="center" wrapText="1"/>
    </xf>
    <xf numFmtId="0" fontId="20" fillId="8" borderId="0" xfId="0" applyFont="1" applyFill="1" applyAlignment="1">
      <alignment horizontal="center" vertical="center" wrapText="1"/>
    </xf>
    <xf numFmtId="0" fontId="20" fillId="0" borderId="0" xfId="0" applyFont="1" applyAlignment="1">
      <alignment wrapText="1"/>
    </xf>
    <xf numFmtId="0" fontId="50" fillId="5" borderId="0" xfId="0" applyFont="1" applyFill="1" applyAlignment="1">
      <alignment vertical="top"/>
    </xf>
    <xf numFmtId="0" fontId="50" fillId="9" borderId="0" xfId="0" applyFont="1" applyFill="1" applyAlignment="1">
      <alignment vertical="top"/>
    </xf>
    <xf numFmtId="0" fontId="20" fillId="12" borderId="0" xfId="0" applyFont="1" applyFill="1" applyAlignment="1">
      <alignment horizontal="left" vertical="top" wrapText="1"/>
    </xf>
    <xf numFmtId="0" fontId="20" fillId="11" borderId="0" xfId="0" applyFont="1" applyFill="1" applyAlignment="1">
      <alignment vertical="top" wrapText="1"/>
    </xf>
    <xf numFmtId="0" fontId="50" fillId="10" borderId="0" xfId="0" applyFont="1" applyFill="1" applyAlignment="1">
      <alignment vertical="top"/>
    </xf>
    <xf numFmtId="0" fontId="21" fillId="0" borderId="4" xfId="3" applyFont="1" applyBorder="1" applyAlignment="1" applyProtection="1">
      <alignment horizontal="center" vertical="top" wrapText="1"/>
      <protection locked="0"/>
    </xf>
    <xf numFmtId="0" fontId="54" fillId="0" borderId="0" xfId="0" applyFont="1" applyAlignment="1">
      <alignment horizontal="center" wrapText="1"/>
    </xf>
    <xf numFmtId="0" fontId="5" fillId="3" borderId="2" xfId="5" applyFont="1" applyFill="1" applyBorder="1" applyAlignment="1">
      <alignment vertical="center" wrapText="1"/>
    </xf>
    <xf numFmtId="0" fontId="21" fillId="0" borderId="2" xfId="0" applyFont="1" applyBorder="1" applyAlignment="1">
      <alignment horizontal="left" vertical="top" wrapText="1"/>
    </xf>
    <xf numFmtId="0" fontId="22" fillId="6" borderId="16" xfId="3" applyFont="1" applyFill="1" applyBorder="1" applyAlignment="1" applyProtection="1">
      <alignment horizontal="center" vertical="center"/>
      <protection locked="0"/>
    </xf>
    <xf numFmtId="0" fontId="22" fillId="0" borderId="0" xfId="3" applyFont="1" applyAlignment="1" applyProtection="1">
      <alignment horizontal="center" vertical="top" wrapText="1"/>
      <protection locked="0"/>
    </xf>
    <xf numFmtId="0" fontId="51" fillId="0" borderId="0" xfId="0" applyFont="1"/>
    <xf numFmtId="0" fontId="51" fillId="0" borderId="0" xfId="3" applyFont="1" applyAlignment="1" applyProtection="1">
      <alignment horizontal="left" vertical="top"/>
      <protection locked="0"/>
    </xf>
    <xf numFmtId="0" fontId="21" fillId="0" borderId="2" xfId="3" applyFont="1" applyBorder="1" applyAlignment="1">
      <alignment horizontal="center" vertical="top" wrapText="1"/>
    </xf>
    <xf numFmtId="0" fontId="35" fillId="0" borderId="0" xfId="3" applyFont="1" applyAlignment="1" applyProtection="1">
      <alignment horizontal="left" vertical="top"/>
      <protection locked="0"/>
    </xf>
    <xf numFmtId="0" fontId="3" fillId="0" borderId="1" xfId="5" applyFont="1" applyBorder="1" applyAlignment="1">
      <alignment horizontal="left" vertical="center"/>
    </xf>
    <xf numFmtId="0" fontId="2" fillId="3" borderId="1" xfId="5" applyFont="1" applyFill="1" applyBorder="1" applyAlignment="1">
      <alignment horizontal="left" vertical="center" wrapText="1"/>
    </xf>
    <xf numFmtId="0" fontId="2" fillId="0" borderId="2" xfId="5" applyFont="1" applyBorder="1" applyAlignment="1">
      <alignment vertical="center" wrapText="1"/>
    </xf>
    <xf numFmtId="0" fontId="1" fillId="0" borderId="2" xfId="5" applyFont="1" applyBorder="1" applyAlignment="1">
      <alignment vertical="center" wrapText="1"/>
    </xf>
    <xf numFmtId="164" fontId="20" fillId="11" borderId="27" xfId="3" applyNumberFormat="1" applyFill="1" applyBorder="1" applyAlignment="1">
      <alignment vertical="center" wrapText="1"/>
    </xf>
    <xf numFmtId="49" fontId="31" fillId="7" borderId="1" xfId="3" applyNumberFormat="1" applyFont="1" applyFill="1" applyBorder="1" applyAlignment="1">
      <alignment horizontal="center" vertical="center"/>
    </xf>
    <xf numFmtId="49" fontId="31" fillId="7" borderId="4" xfId="3" applyNumberFormat="1" applyFont="1" applyFill="1" applyBorder="1" applyAlignment="1">
      <alignment horizontal="center" vertical="center"/>
    </xf>
    <xf numFmtId="0" fontId="31" fillId="11" borderId="11" xfId="3" applyFont="1" applyFill="1" applyBorder="1" applyAlignment="1">
      <alignment horizontal="left" vertical="center"/>
    </xf>
    <xf numFmtId="0" fontId="31" fillId="11" borderId="9" xfId="3" applyFont="1" applyFill="1" applyBorder="1" applyAlignment="1">
      <alignment horizontal="left" vertical="center"/>
    </xf>
    <xf numFmtId="0" fontId="31" fillId="11" borderId="12" xfId="3" applyFont="1" applyFill="1" applyBorder="1" applyAlignment="1">
      <alignment horizontal="left" vertical="center"/>
    </xf>
    <xf numFmtId="0" fontId="31" fillId="11" borderId="8" xfId="3" applyFont="1" applyFill="1" applyBorder="1" applyAlignment="1">
      <alignment horizontal="left" vertical="center"/>
    </xf>
    <xf numFmtId="0" fontId="31" fillId="11" borderId="13" xfId="3" applyFont="1" applyFill="1" applyBorder="1" applyAlignment="1">
      <alignment horizontal="left" vertical="center"/>
    </xf>
    <xf numFmtId="0" fontId="31" fillId="11" borderId="7" xfId="3" applyFont="1" applyFill="1" applyBorder="1" applyAlignment="1">
      <alignment horizontal="left" vertical="center"/>
    </xf>
    <xf numFmtId="0" fontId="31" fillId="7" borderId="11" xfId="3" applyFont="1" applyFill="1" applyBorder="1" applyAlignment="1">
      <alignment horizontal="left" vertical="center"/>
    </xf>
    <xf numFmtId="0" fontId="31" fillId="7" borderId="9" xfId="3" applyFont="1" applyFill="1" applyBorder="1" applyAlignment="1">
      <alignment horizontal="left" vertical="center"/>
    </xf>
    <xf numFmtId="0" fontId="31" fillId="7" borderId="12" xfId="3" applyFont="1" applyFill="1" applyBorder="1" applyAlignment="1">
      <alignment horizontal="left" vertical="center"/>
    </xf>
    <xf numFmtId="0" fontId="31" fillId="7" borderId="8" xfId="3" applyFont="1" applyFill="1" applyBorder="1" applyAlignment="1">
      <alignment horizontal="left" vertical="center"/>
    </xf>
    <xf numFmtId="0" fontId="31" fillId="7" borderId="13" xfId="3" applyFont="1" applyFill="1" applyBorder="1" applyAlignment="1">
      <alignment horizontal="left" vertical="center"/>
    </xf>
    <xf numFmtId="0" fontId="31" fillId="7" borderId="7" xfId="3" applyFont="1" applyFill="1" applyBorder="1" applyAlignment="1">
      <alignment horizontal="left" vertical="center"/>
    </xf>
    <xf numFmtId="0" fontId="47" fillId="7" borderId="14" xfId="3" applyFont="1" applyFill="1" applyBorder="1" applyAlignment="1">
      <alignment horizontal="left" vertical="center" wrapText="1"/>
    </xf>
    <xf numFmtId="0" fontId="47" fillId="7" borderId="15" xfId="3" applyFont="1" applyFill="1" applyBorder="1" applyAlignment="1">
      <alignment horizontal="left" vertical="center" wrapText="1"/>
    </xf>
    <xf numFmtId="0" fontId="47" fillId="7" borderId="6" xfId="3" applyFont="1" applyFill="1" applyBorder="1" applyAlignment="1">
      <alignment horizontal="left" vertical="center" wrapText="1"/>
    </xf>
    <xf numFmtId="0" fontId="19" fillId="11" borderId="2" xfId="3" applyFont="1" applyFill="1" applyBorder="1" applyAlignment="1">
      <alignment horizontal="left" vertical="center"/>
    </xf>
    <xf numFmtId="0" fontId="20" fillId="11" borderId="2" xfId="3" applyFill="1" applyBorder="1" applyAlignment="1">
      <alignment horizontal="left" vertical="center"/>
    </xf>
    <xf numFmtId="0" fontId="44" fillId="3" borderId="13" xfId="3" applyFont="1" applyFill="1" applyBorder="1" applyAlignment="1">
      <alignment horizontal="left" vertical="top" wrapText="1"/>
    </xf>
    <xf numFmtId="0" fontId="19" fillId="3" borderId="14" xfId="3" applyFont="1" applyFill="1" applyBorder="1" applyAlignment="1">
      <alignment horizontal="left" vertical="center" wrapText="1"/>
    </xf>
    <xf numFmtId="0" fontId="19" fillId="3" borderId="15" xfId="3" applyFont="1" applyFill="1" applyBorder="1" applyAlignment="1">
      <alignment horizontal="left" vertical="center" wrapText="1"/>
    </xf>
    <xf numFmtId="0" fontId="19" fillId="3" borderId="6" xfId="3" applyFont="1" applyFill="1" applyBorder="1" applyAlignment="1">
      <alignment horizontal="left" vertical="center" wrapText="1"/>
    </xf>
    <xf numFmtId="0" fontId="20" fillId="0" borderId="0" xfId="3" applyAlignment="1">
      <alignment horizontal="left" vertical="top" wrapText="1"/>
    </xf>
    <xf numFmtId="0" fontId="19" fillId="11" borderId="14" xfId="3" applyFont="1" applyFill="1" applyBorder="1" applyAlignment="1">
      <alignment horizontal="left" vertical="center"/>
    </xf>
    <xf numFmtId="0" fontId="19" fillId="11" borderId="15" xfId="3" applyFont="1" applyFill="1" applyBorder="1" applyAlignment="1">
      <alignment horizontal="left" vertical="center"/>
    </xf>
    <xf numFmtId="0" fontId="19" fillId="11" borderId="6" xfId="3" applyFont="1" applyFill="1" applyBorder="1" applyAlignment="1">
      <alignment horizontal="left" vertical="center"/>
    </xf>
    <xf numFmtId="0" fontId="27" fillId="7" borderId="2" xfId="3" applyFont="1" applyFill="1" applyBorder="1" applyAlignment="1">
      <alignment horizontal="center" vertical="center" wrapText="1"/>
    </xf>
    <xf numFmtId="0" fontId="27" fillId="7" borderId="2" xfId="3" applyFont="1" applyFill="1" applyBorder="1" applyAlignment="1">
      <alignment horizontal="center" vertical="center"/>
    </xf>
    <xf numFmtId="0" fontId="27" fillId="11" borderId="2" xfId="3" applyFont="1" applyFill="1" applyBorder="1" applyAlignment="1">
      <alignment horizontal="center" vertical="center"/>
    </xf>
    <xf numFmtId="0" fontId="28" fillId="7" borderId="2" xfId="3" applyFont="1" applyFill="1" applyBorder="1" applyAlignment="1">
      <alignment horizontal="center" vertical="center"/>
    </xf>
    <xf numFmtId="0" fontId="19" fillId="7" borderId="1" xfId="3" applyFont="1" applyFill="1" applyBorder="1" applyAlignment="1">
      <alignment horizontal="left" vertical="center"/>
    </xf>
    <xf numFmtId="0" fontId="21" fillId="0" borderId="14" xfId="0" applyFont="1" applyBorder="1" applyAlignment="1">
      <alignment horizontal="left" vertical="top" wrapText="1"/>
    </xf>
    <xf numFmtId="0" fontId="21" fillId="0" borderId="15" xfId="0" applyFont="1" applyBorder="1" applyAlignment="1">
      <alignment horizontal="left" vertical="top" wrapText="1"/>
    </xf>
    <xf numFmtId="0" fontId="21" fillId="0" borderId="6" xfId="0" applyFont="1" applyBorder="1" applyAlignment="1">
      <alignment horizontal="left" vertical="top" wrapText="1"/>
    </xf>
    <xf numFmtId="0" fontId="22" fillId="6" borderId="16" xfId="3" applyFont="1" applyFill="1" applyBorder="1" applyAlignment="1" applyProtection="1">
      <alignment horizontal="center" vertical="center"/>
      <protection locked="0"/>
    </xf>
    <xf numFmtId="0" fontId="22" fillId="6" borderId="10" xfId="3" applyFont="1" applyFill="1" applyBorder="1" applyAlignment="1" applyProtection="1">
      <alignment horizontal="center" vertical="center"/>
      <protection locked="0"/>
    </xf>
    <xf numFmtId="0" fontId="48" fillId="0" borderId="0" xfId="3" applyFont="1" applyAlignment="1" applyProtection="1">
      <alignment horizontal="center" vertical="top" wrapText="1"/>
      <protection locked="0"/>
    </xf>
    <xf numFmtId="0" fontId="21" fillId="0" borderId="8" xfId="0" applyFont="1" applyBorder="1" applyAlignment="1">
      <alignment vertical="top" wrapText="1"/>
    </xf>
    <xf numFmtId="0" fontId="21" fillId="0" borderId="13" xfId="0" applyFont="1" applyBorder="1" applyAlignment="1">
      <alignment vertical="top" wrapText="1"/>
    </xf>
    <xf numFmtId="0" fontId="21" fillId="0" borderId="7" xfId="0" applyFont="1" applyBorder="1" applyAlignment="1">
      <alignment vertical="top" wrapText="1"/>
    </xf>
    <xf numFmtId="0" fontId="21" fillId="0" borderId="14" xfId="0" applyFont="1" applyBorder="1" applyAlignment="1">
      <alignment vertical="top" wrapText="1"/>
    </xf>
    <xf numFmtId="0" fontId="21" fillId="0" borderId="6" xfId="0" applyFont="1" applyBorder="1" applyAlignment="1">
      <alignment vertical="top" wrapText="1"/>
    </xf>
    <xf numFmtId="0" fontId="35" fillId="0" borderId="14" xfId="3" applyFont="1" applyBorder="1" applyAlignment="1" applyProtection="1">
      <alignment horizontal="center" vertical="center" wrapText="1"/>
      <protection locked="0"/>
    </xf>
    <xf numFmtId="0" fontId="35" fillId="0" borderId="15" xfId="3" applyFont="1" applyBorder="1" applyAlignment="1" applyProtection="1">
      <alignment horizontal="center" vertical="center" wrapText="1"/>
      <protection locked="0"/>
    </xf>
    <xf numFmtId="0" fontId="35" fillId="0" borderId="6" xfId="3" applyFont="1" applyBorder="1" applyAlignment="1" applyProtection="1">
      <alignment horizontal="center" vertical="center" wrapText="1"/>
      <protection locked="0"/>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6" xfId="0" applyFont="1" applyBorder="1" applyAlignment="1">
      <alignment horizontal="center" vertical="center" wrapText="1"/>
    </xf>
    <xf numFmtId="0" fontId="22" fillId="0" borderId="0" xfId="3" applyFont="1" applyAlignment="1" applyProtection="1">
      <alignment horizontal="center" vertical="top" wrapText="1"/>
      <protection locked="0"/>
    </xf>
    <xf numFmtId="0" fontId="19" fillId="0" borderId="0" xfId="3" applyFont="1" applyAlignment="1" applyProtection="1">
      <alignment horizontal="center" wrapText="1"/>
      <protection locked="0"/>
    </xf>
    <xf numFmtId="0" fontId="35" fillId="0" borderId="0" xfId="0" applyFont="1" applyAlignment="1">
      <alignment horizontal="left" vertical="top" wrapText="1"/>
    </xf>
    <xf numFmtId="0" fontId="19" fillId="0" borderId="0" xfId="0" applyFont="1" applyAlignment="1">
      <alignment horizontal="left" wrapText="1"/>
    </xf>
    <xf numFmtId="0" fontId="51" fillId="0" borderId="0" xfId="3" applyFont="1" applyAlignment="1" applyProtection="1">
      <alignment horizontal="left" wrapText="1"/>
      <protection locked="0"/>
    </xf>
    <xf numFmtId="0" fontId="45" fillId="5" borderId="0" xfId="3" applyFont="1" applyFill="1" applyAlignment="1" applyProtection="1">
      <alignment horizontal="center" vertical="center" textRotation="90"/>
      <protection locked="0"/>
    </xf>
    <xf numFmtId="0" fontId="43" fillId="6" borderId="18" xfId="0" applyFont="1" applyFill="1" applyBorder="1" applyAlignment="1">
      <alignment horizontal="center" vertical="center" wrapText="1"/>
    </xf>
    <xf numFmtId="0" fontId="43" fillId="6" borderId="19" xfId="0" applyFont="1" applyFill="1" applyBorder="1" applyAlignment="1">
      <alignment horizontal="center" vertical="center" wrapText="1"/>
    </xf>
    <xf numFmtId="0" fontId="43" fillId="6" borderId="21" xfId="0" applyFont="1" applyFill="1" applyBorder="1" applyAlignment="1">
      <alignment horizontal="center" vertical="center" wrapText="1"/>
    </xf>
    <xf numFmtId="0" fontId="45" fillId="5" borderId="0" xfId="3" applyFont="1" applyFill="1" applyAlignment="1" applyProtection="1">
      <alignment horizontal="center" vertical="center" wrapText="1"/>
      <protection locked="0"/>
    </xf>
    <xf numFmtId="0" fontId="21" fillId="0" borderId="2" xfId="0" applyFont="1" applyBorder="1" applyAlignment="1">
      <alignment horizontal="left" vertical="top" wrapText="1"/>
    </xf>
    <xf numFmtId="0" fontId="33" fillId="0" borderId="0" xfId="3" applyFont="1" applyAlignment="1" applyProtection="1">
      <alignment horizontal="center" wrapText="1"/>
      <protection locked="0"/>
    </xf>
    <xf numFmtId="0" fontId="22" fillId="6" borderId="20" xfId="3" applyFont="1" applyFill="1" applyBorder="1" applyAlignment="1" applyProtection="1">
      <alignment horizontal="center" vertical="center"/>
      <protection locked="0"/>
    </xf>
    <xf numFmtId="0" fontId="52" fillId="6" borderId="16" xfId="0" applyFont="1" applyFill="1" applyBorder="1" applyAlignment="1">
      <alignment horizontal="center" vertical="center" wrapText="1"/>
    </xf>
    <xf numFmtId="0" fontId="52" fillId="6" borderId="17" xfId="0" applyFont="1" applyFill="1" applyBorder="1" applyAlignment="1">
      <alignment horizontal="center" vertical="center" wrapText="1"/>
    </xf>
    <xf numFmtId="0" fontId="52" fillId="6" borderId="10" xfId="0" applyFont="1" applyFill="1" applyBorder="1" applyAlignment="1">
      <alignment horizontal="center" vertical="center" wrapText="1"/>
    </xf>
    <xf numFmtId="0" fontId="32" fillId="6" borderId="18" xfId="0" applyFont="1" applyFill="1" applyBorder="1" applyAlignment="1">
      <alignment horizontal="center" vertical="center" wrapText="1"/>
    </xf>
    <xf numFmtId="0" fontId="32" fillId="6" borderId="19" xfId="0" applyFont="1" applyFill="1" applyBorder="1" applyAlignment="1">
      <alignment horizontal="center" vertical="center" wrapText="1"/>
    </xf>
    <xf numFmtId="0" fontId="22" fillId="6" borderId="17" xfId="3" applyFont="1" applyFill="1" applyBorder="1" applyAlignment="1" applyProtection="1">
      <alignment horizontal="center" vertical="center"/>
      <protection locked="0"/>
    </xf>
    <xf numFmtId="0" fontId="22" fillId="6" borderId="16" xfId="3" applyFont="1" applyFill="1" applyBorder="1" applyAlignment="1" applyProtection="1">
      <alignment horizontal="center" vertical="center" wrapText="1"/>
      <protection locked="0"/>
    </xf>
    <xf numFmtId="0" fontId="22" fillId="6" borderId="17" xfId="3" applyFont="1" applyFill="1" applyBorder="1" applyAlignment="1" applyProtection="1">
      <alignment horizontal="center" vertical="center" wrapText="1"/>
      <protection locked="0"/>
    </xf>
    <xf numFmtId="0" fontId="22" fillId="6" borderId="10" xfId="3" applyFont="1" applyFill="1" applyBorder="1" applyAlignment="1" applyProtection="1">
      <alignment horizontal="center" vertical="center" wrapText="1"/>
      <protection locked="0"/>
    </xf>
    <xf numFmtId="0" fontId="32" fillId="6" borderId="18" xfId="0" applyFont="1" applyFill="1" applyBorder="1" applyAlignment="1">
      <alignment horizontal="center" vertical="top" wrapText="1"/>
    </xf>
    <xf numFmtId="0" fontId="32" fillId="6" borderId="21" xfId="0" applyFont="1" applyFill="1" applyBorder="1" applyAlignment="1">
      <alignment horizontal="center" vertical="top" wrapText="1"/>
    </xf>
    <xf numFmtId="0" fontId="32" fillId="6" borderId="19" xfId="0" applyFont="1" applyFill="1" applyBorder="1" applyAlignment="1">
      <alignment horizontal="center" vertical="top" wrapText="1"/>
    </xf>
    <xf numFmtId="0" fontId="46" fillId="5" borderId="23" xfId="5" applyFont="1" applyFill="1" applyBorder="1" applyAlignment="1">
      <alignment horizontal="center" vertical="center" wrapText="1"/>
    </xf>
    <xf numFmtId="0" fontId="46" fillId="5" borderId="22" xfId="5" applyFont="1" applyFill="1" applyBorder="1" applyAlignment="1">
      <alignment horizontal="center" vertical="center" wrapText="1"/>
    </xf>
    <xf numFmtId="0" fontId="40" fillId="4" borderId="1" xfId="5" applyFont="1" applyFill="1" applyBorder="1" applyAlignment="1">
      <alignment horizontal="center" vertical="center" wrapText="1"/>
    </xf>
    <xf numFmtId="0" fontId="40" fillId="4" borderId="3" xfId="5" applyFont="1" applyFill="1" applyBorder="1" applyAlignment="1">
      <alignment horizontal="center" vertical="center" wrapText="1"/>
    </xf>
    <xf numFmtId="0" fontId="40" fillId="4" borderId="4" xfId="5" applyFont="1" applyFill="1" applyBorder="1" applyAlignment="1">
      <alignment horizontal="center" vertical="center" wrapText="1"/>
    </xf>
    <xf numFmtId="0" fontId="18" fillId="3" borderId="1" xfId="5" applyFont="1" applyFill="1" applyBorder="1" applyAlignment="1">
      <alignment horizontal="left" vertical="center" wrapText="1"/>
    </xf>
    <xf numFmtId="0" fontId="18" fillId="3" borderId="3" xfId="5" applyFont="1" applyFill="1" applyBorder="1" applyAlignment="1">
      <alignment horizontal="left" vertical="center" wrapText="1"/>
    </xf>
    <xf numFmtId="0" fontId="18" fillId="3" borderId="4" xfId="5" applyFont="1" applyFill="1" applyBorder="1" applyAlignment="1">
      <alignment horizontal="left" vertical="center" wrapText="1"/>
    </xf>
    <xf numFmtId="0" fontId="40" fillId="4" borderId="2" xfId="5" applyFont="1" applyFill="1" applyBorder="1" applyAlignment="1">
      <alignment horizontal="center" vertical="center" wrapText="1"/>
    </xf>
    <xf numFmtId="0" fontId="18" fillId="0" borderId="1" xfId="5" applyFont="1" applyBorder="1" applyAlignment="1">
      <alignment horizontal="left" vertical="center" wrapText="1"/>
    </xf>
    <xf numFmtId="0" fontId="18" fillId="0" borderId="3" xfId="5" applyFont="1" applyBorder="1" applyAlignment="1">
      <alignment horizontal="left" vertical="center" wrapText="1"/>
    </xf>
    <xf numFmtId="0" fontId="18" fillId="0" borderId="4" xfId="5" applyFont="1" applyBorder="1" applyAlignment="1">
      <alignment horizontal="left" vertical="center" wrapText="1"/>
    </xf>
    <xf numFmtId="0" fontId="15" fillId="0" borderId="1" xfId="5" applyFont="1" applyBorder="1" applyAlignment="1">
      <alignment horizontal="left" vertical="center" wrapText="1"/>
    </xf>
    <xf numFmtId="0" fontId="15" fillId="0" borderId="4" xfId="5" applyFont="1" applyBorder="1" applyAlignment="1">
      <alignment horizontal="left" vertical="center" wrapText="1"/>
    </xf>
    <xf numFmtId="0" fontId="4" fillId="3" borderId="1" xfId="5" applyFont="1" applyFill="1" applyBorder="1" applyAlignment="1">
      <alignment horizontal="left" vertical="center" wrapText="1"/>
    </xf>
    <xf numFmtId="0" fontId="56" fillId="0" borderId="0" xfId="0" applyFont="1" applyAlignment="1">
      <alignment horizontal="center"/>
    </xf>
    <xf numFmtId="0" fontId="22" fillId="7" borderId="14" xfId="3" applyFont="1" applyFill="1" applyBorder="1" applyAlignment="1">
      <alignment horizontal="left" vertical="center"/>
    </xf>
    <xf numFmtId="0" fontId="22" fillId="7" borderId="15" xfId="3" applyFont="1" applyFill="1" applyBorder="1" applyAlignment="1">
      <alignment horizontal="left" vertical="center"/>
    </xf>
    <xf numFmtId="0" fontId="22" fillId="7" borderId="6" xfId="3" applyFont="1" applyFill="1" applyBorder="1" applyAlignment="1">
      <alignment horizontal="left" vertical="center"/>
    </xf>
    <xf numFmtId="0" fontId="22" fillId="7" borderId="14" xfId="3" applyFont="1" applyFill="1" applyBorder="1" applyAlignment="1">
      <alignment vertical="center"/>
    </xf>
    <xf numFmtId="0" fontId="22" fillId="7" borderId="15" xfId="3" applyFont="1" applyFill="1" applyBorder="1" applyAlignment="1">
      <alignment vertical="center"/>
    </xf>
    <xf numFmtId="0" fontId="22" fillId="7" borderId="6" xfId="3" applyFont="1" applyFill="1" applyBorder="1" applyAlignment="1">
      <alignment vertical="center"/>
    </xf>
    <xf numFmtId="0" fontId="53" fillId="0" borderId="2" xfId="0" applyFont="1" applyBorder="1" applyAlignment="1">
      <alignment horizontal="left" vertical="top" wrapText="1"/>
    </xf>
    <xf numFmtId="0" fontId="22" fillId="3" borderId="3" xfId="0" applyFont="1" applyFill="1" applyBorder="1" applyAlignment="1">
      <alignment horizontal="left" vertical="top" wrapText="1"/>
    </xf>
    <xf numFmtId="0" fontId="22" fillId="3" borderId="8" xfId="0" applyFont="1" applyFill="1" applyBorder="1" applyAlignment="1">
      <alignment horizontal="left" vertical="top" wrapText="1"/>
    </xf>
    <xf numFmtId="0" fontId="22" fillId="3" borderId="13" xfId="0" applyFont="1" applyFill="1" applyBorder="1" applyAlignment="1">
      <alignment horizontal="left" vertical="top" wrapText="1"/>
    </xf>
    <xf numFmtId="0" fontId="22" fillId="3" borderId="7" xfId="0" applyFont="1" applyFill="1" applyBorder="1" applyAlignment="1">
      <alignment horizontal="left" vertical="top" wrapText="1"/>
    </xf>
    <xf numFmtId="0" fontId="58" fillId="3" borderId="11" xfId="0" applyFont="1" applyFill="1" applyBorder="1" applyAlignment="1">
      <alignment horizontal="center" vertical="top"/>
    </xf>
    <xf numFmtId="0" fontId="58" fillId="3" borderId="9" xfId="0" applyFont="1" applyFill="1" applyBorder="1" applyAlignment="1">
      <alignment horizontal="center" vertical="top"/>
    </xf>
    <xf numFmtId="0" fontId="58" fillId="3" borderId="12" xfId="0" applyFont="1" applyFill="1" applyBorder="1" applyAlignment="1">
      <alignment horizontal="center" vertical="top"/>
    </xf>
    <xf numFmtId="0" fontId="22" fillId="3" borderId="4" xfId="0" applyFont="1" applyFill="1" applyBorder="1" applyAlignment="1">
      <alignment horizontal="left" vertical="top" wrapText="1"/>
    </xf>
    <xf numFmtId="0" fontId="45" fillId="5" borderId="0" xfId="0" applyFont="1" applyFill="1" applyAlignment="1">
      <alignment horizontal="center"/>
    </xf>
    <xf numFmtId="0" fontId="45" fillId="5" borderId="24" xfId="0" applyFont="1" applyFill="1" applyBorder="1" applyAlignment="1">
      <alignment horizontal="center" vertical="center" textRotation="90"/>
    </xf>
  </cellXfs>
  <cellStyles count="8">
    <cellStyle name="Hyperlink" xfId="1" builtinId="8"/>
    <cellStyle name="Lien hypertexte 2" xfId="2" xr:uid="{00000000-0005-0000-0000-000001000000}"/>
    <cellStyle name="Normal" xfId="0" builtinId="0"/>
    <cellStyle name="Normal 2" xfId="3" xr:uid="{00000000-0005-0000-0000-000003000000}"/>
    <cellStyle name="Normal 2 2" xfId="4" xr:uid="{00000000-0005-0000-0000-000004000000}"/>
    <cellStyle name="Normal 3" xfId="5" xr:uid="{00000000-0005-0000-0000-000005000000}"/>
    <cellStyle name="Style 1" xfId="6" xr:uid="{00000000-0005-0000-0000-000006000000}"/>
    <cellStyle name="Style 2" xfId="7" xr:uid="{00000000-0005-0000-0000-000007000000}"/>
  </cellStyles>
  <dxfs count="48">
    <dxf>
      <fill>
        <patternFill>
          <bgColor rgb="FF00B050"/>
        </patternFill>
      </fill>
    </dxf>
    <dxf>
      <fill>
        <patternFill>
          <bgColor rgb="FFFFC000"/>
        </patternFill>
      </fill>
    </dxf>
    <dxf>
      <fill>
        <patternFill>
          <bgColor rgb="FFFF0000"/>
        </patternFill>
      </fill>
    </dxf>
    <dxf>
      <font>
        <b/>
        <i val="0"/>
        <strike val="0"/>
        <color theme="0"/>
      </font>
      <fill>
        <patternFill>
          <bgColor theme="1"/>
        </patternFill>
      </fill>
    </dxf>
    <dxf>
      <font>
        <b/>
        <i val="0"/>
        <color theme="0"/>
      </font>
      <fill>
        <patternFill>
          <bgColor rgb="FFFF0000"/>
        </patternFill>
      </fill>
    </dxf>
    <dxf>
      <font>
        <b/>
        <i val="0"/>
      </font>
      <fill>
        <patternFill>
          <bgColor rgb="FFFF9933"/>
        </patternFill>
      </fill>
    </dxf>
    <dxf>
      <font>
        <b/>
        <i val="0"/>
      </font>
      <fill>
        <patternFill>
          <bgColor rgb="FFFFFF00"/>
        </patternFill>
      </fill>
    </dxf>
    <dxf>
      <font>
        <b/>
        <i val="0"/>
        <color theme="0"/>
      </font>
      <fill>
        <patternFill>
          <bgColor rgb="FF008000"/>
        </patternFill>
      </fill>
    </dxf>
    <dxf>
      <font>
        <b/>
        <i val="0"/>
        <strike val="0"/>
        <color theme="0"/>
      </font>
      <fill>
        <patternFill>
          <bgColor theme="1"/>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00B050"/>
        </patternFill>
      </fill>
    </dxf>
    <dxf>
      <font>
        <b/>
        <i val="0"/>
        <strike val="0"/>
        <color theme="0"/>
      </font>
      <fill>
        <patternFill>
          <bgColor theme="1"/>
        </patternFill>
      </fill>
    </dxf>
    <dxf>
      <font>
        <b/>
        <i val="0"/>
        <color theme="0"/>
      </font>
      <fill>
        <patternFill>
          <bgColor rgb="FFFF0000"/>
        </patternFill>
      </fill>
    </dxf>
    <dxf>
      <font>
        <b/>
        <i val="0"/>
      </font>
      <fill>
        <patternFill>
          <bgColor rgb="FFFF9933"/>
        </patternFill>
      </fill>
    </dxf>
    <dxf>
      <font>
        <b/>
        <i val="0"/>
      </font>
      <fill>
        <patternFill>
          <bgColor rgb="FFFFFF00"/>
        </patternFill>
      </fill>
    </dxf>
    <dxf>
      <font>
        <b/>
        <i val="0"/>
        <color theme="0"/>
      </font>
      <fill>
        <patternFill>
          <bgColor rgb="FF008000"/>
        </patternFill>
      </fill>
    </dxf>
    <dxf>
      <font>
        <b/>
        <i val="0"/>
        <color theme="0"/>
      </font>
      <fill>
        <patternFill>
          <bgColor rgb="FF008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FF00"/>
        </patternFill>
      </fill>
    </dxf>
    <dxf>
      <font>
        <b/>
        <i val="0"/>
        <color theme="0"/>
      </font>
      <fill>
        <patternFill>
          <bgColor rgb="FFFF0000"/>
        </patternFill>
      </fill>
    </dxf>
    <dxf>
      <font>
        <b/>
        <i val="0"/>
        <color theme="0"/>
      </font>
      <fill>
        <patternFill>
          <bgColor rgb="FF00800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FF00"/>
        </patternFill>
      </fill>
    </dxf>
    <dxf>
      <font>
        <b/>
        <i val="0"/>
        <color theme="0"/>
      </font>
      <fill>
        <patternFill>
          <bgColor rgb="FFFF0000"/>
        </patternFill>
      </fill>
    </dxf>
    <dxf>
      <font>
        <b/>
        <i val="0"/>
        <color auto="1"/>
      </font>
      <fill>
        <patternFill>
          <bgColor rgb="FF00B050"/>
        </patternFill>
      </fill>
    </dxf>
    <dxf>
      <font>
        <b/>
        <i val="0"/>
        <color auto="1"/>
      </font>
      <fill>
        <patternFill>
          <bgColor rgb="FFFFFF00"/>
        </patternFill>
      </fill>
    </dxf>
    <dxf>
      <font>
        <b/>
        <i val="0"/>
        <color theme="0"/>
      </font>
      <fill>
        <patternFill>
          <bgColor rgb="FFFF0000"/>
        </patternFill>
      </fill>
    </dxf>
    <dxf>
      <font>
        <b/>
        <i val="0"/>
        <color auto="1"/>
      </font>
      <fill>
        <patternFill>
          <bgColor rgb="FFFF9933"/>
        </patternFill>
      </fill>
    </dxf>
    <dxf>
      <font>
        <b/>
        <i val="0"/>
        <color theme="0"/>
      </font>
      <fill>
        <patternFill>
          <bgColor theme="1"/>
        </patternFill>
      </fill>
    </dxf>
    <dxf>
      <font>
        <b/>
        <i val="0"/>
        <color auto="1"/>
      </font>
      <fill>
        <patternFill>
          <bgColor rgb="FFFFC000"/>
        </patternFill>
      </fill>
    </dxf>
    <dxf>
      <font>
        <b/>
        <i val="0"/>
        <color theme="0"/>
      </font>
      <fill>
        <patternFill>
          <bgColor theme="1"/>
        </patternFill>
      </fill>
    </dxf>
    <dxf>
      <font>
        <b/>
        <i val="0"/>
        <color auto="1"/>
      </font>
      <fill>
        <patternFill>
          <bgColor rgb="FFFF9933"/>
        </patternFill>
      </fill>
    </dxf>
    <dxf>
      <font>
        <b/>
        <i val="0"/>
        <color theme="0"/>
      </font>
      <fill>
        <patternFill>
          <bgColor theme="1"/>
        </patternFill>
      </fill>
    </dxf>
    <dxf>
      <font>
        <b/>
        <i val="0"/>
        <color auto="1"/>
      </font>
      <fill>
        <patternFill>
          <bgColor rgb="FFFFC000"/>
        </patternFill>
      </fill>
    </dxf>
    <dxf>
      <font>
        <b/>
        <i val="0"/>
        <color theme="0"/>
      </font>
      <fill>
        <patternFill>
          <bgColor theme="1"/>
        </patternFill>
      </fill>
    </dxf>
    <dxf>
      <font>
        <b/>
        <i val="0"/>
        <color auto="1"/>
      </font>
      <fill>
        <patternFill>
          <bgColor rgb="FFFFC000"/>
        </patternFill>
      </fill>
    </dxf>
    <dxf>
      <font>
        <b/>
        <i val="0"/>
        <color theme="0"/>
      </font>
      <fill>
        <patternFill>
          <bgColor theme="1"/>
        </patternFill>
      </fill>
    </dxf>
    <dxf>
      <font>
        <b/>
        <i val="0"/>
        <color auto="1"/>
      </font>
      <fill>
        <patternFill>
          <bgColor rgb="FFFFC000"/>
        </patternFill>
      </fill>
    </dxf>
    <dxf>
      <font>
        <b/>
        <i val="0"/>
        <color theme="0"/>
      </font>
      <fill>
        <patternFill>
          <bgColor theme="1"/>
        </patternFill>
      </fill>
    </dxf>
  </dxfs>
  <tableStyles count="0" defaultTableStyle="TableStyleMedium9" defaultPivotStyle="PivotStyleLight16"/>
  <colors>
    <mruColors>
      <color rgb="FFFF9933"/>
      <color rgb="FF008000"/>
      <color rgb="FF99CC00"/>
      <color rgb="FFFFC000"/>
      <color rgb="FF0000FF"/>
      <color rgb="FFFFFF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600075</xdr:colOff>
          <xdr:row>5</xdr:row>
          <xdr:rowOff>171450</xdr:rowOff>
        </xdr:from>
        <xdr:to>
          <xdr:col>1</xdr:col>
          <xdr:colOff>933450</xdr:colOff>
          <xdr:row>7</xdr:row>
          <xdr:rowOff>19050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714375</xdr:colOff>
          <xdr:row>10</xdr:row>
          <xdr:rowOff>85725</xdr:rowOff>
        </xdr:from>
        <xdr:to>
          <xdr:col>4</xdr:col>
          <xdr:colOff>95250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9</xdr:row>
          <xdr:rowOff>85725</xdr:rowOff>
        </xdr:from>
        <xdr:to>
          <xdr:col>1</xdr:col>
          <xdr:colOff>85725</xdr:colOff>
          <xdr:row>10</xdr:row>
          <xdr:rowOff>28575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714375</xdr:colOff>
          <xdr:row>9</xdr:row>
          <xdr:rowOff>85725</xdr:rowOff>
        </xdr:from>
        <xdr:to>
          <xdr:col>4</xdr:col>
          <xdr:colOff>95250</xdr:colOff>
          <xdr:row>10</xdr:row>
          <xdr:rowOff>28575</xdr:rowOff>
        </xdr:to>
        <xdr:sp macro="" textlink="">
          <xdr:nvSpPr>
            <xdr:cNvPr id="13316" name="Check Box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10</xdr:row>
          <xdr:rowOff>76200</xdr:rowOff>
        </xdr:from>
        <xdr:to>
          <xdr:col>1</xdr:col>
          <xdr:colOff>76200</xdr:colOff>
          <xdr:row>11</xdr:row>
          <xdr:rowOff>19050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1226820</xdr:colOff>
      <xdr:row>0</xdr:row>
      <xdr:rowOff>133350</xdr:rowOff>
    </xdr:from>
    <xdr:to>
      <xdr:col>11</xdr:col>
      <xdr:colOff>3514725</xdr:colOff>
      <xdr:row>10</xdr:row>
      <xdr:rowOff>201930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8056245" y="133350"/>
          <a:ext cx="2287905" cy="2145030"/>
          <a:chOff x="5875020" y="0"/>
          <a:chExt cx="2324100" cy="2095500"/>
        </a:xfrm>
      </xdr:grpSpPr>
      <xdr:pic>
        <xdr:nvPicPr>
          <xdr:cNvPr id="9" name="Picture 8" descr="Résultat de recherche d'images pour &quot;sticky note&quot;">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75020" y="0"/>
            <a:ext cx="2324100" cy="20955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 name="TextBox 3">
            <a:extLst>
              <a:ext uri="{FF2B5EF4-FFF2-40B4-BE49-F238E27FC236}">
                <a16:creationId xmlns:a16="http://schemas.microsoft.com/office/drawing/2014/main" id="{00000000-0008-0000-0000-000004000000}"/>
              </a:ext>
            </a:extLst>
          </xdr:cNvPr>
          <xdr:cNvSpPr txBox="1"/>
        </xdr:nvSpPr>
        <xdr:spPr>
          <a:xfrm rot="21441690">
            <a:off x="6042104" y="288137"/>
            <a:ext cx="2019854" cy="16953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CH" sz="1100">
                <a:latin typeface="Comic Sans MS" panose="030F0702030302020204" pitchFamily="66" charset="0"/>
              </a:rPr>
              <a:t>Please make sure you have completed the "Swissport HIRA Advanced</a:t>
            </a:r>
            <a:r>
              <a:rPr lang="de-CH" sz="1100" baseline="0">
                <a:latin typeface="Comic Sans MS" panose="030F0702030302020204" pitchFamily="66" charset="0"/>
              </a:rPr>
              <a:t> Training" before using the template.</a:t>
            </a:r>
          </a:p>
          <a:p>
            <a:endParaRPr lang="de-CH" sz="1100" baseline="0">
              <a:latin typeface="Comic Sans MS" panose="030F0702030302020204" pitchFamily="66" charset="0"/>
            </a:endParaRPr>
          </a:p>
          <a:p>
            <a:r>
              <a:rPr lang="de-CH" sz="1100">
                <a:latin typeface="Comic Sans MS" panose="030F0702030302020204" pitchFamily="66" charset="0"/>
              </a:rPr>
              <a:t>After downloading</a:t>
            </a:r>
            <a:r>
              <a:rPr lang="de-CH" sz="1100" baseline="0">
                <a:latin typeface="Comic Sans MS" panose="030F0702030302020204" pitchFamily="66" charset="0"/>
              </a:rPr>
              <a:t> the template on you local drive, remove this sticky note.</a:t>
            </a:r>
            <a:endParaRPr lang="de-CH" sz="1100">
              <a:latin typeface="Comic Sans MS" panose="030F0702030302020204" pitchFamily="66"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13995</xdr:colOff>
      <xdr:row>3</xdr:row>
      <xdr:rowOff>548640</xdr:rowOff>
    </xdr:from>
    <xdr:to>
      <xdr:col>26</xdr:col>
      <xdr:colOff>83527</xdr:colOff>
      <xdr:row>8</xdr:row>
      <xdr:rowOff>287927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4115" t="15000" r="21999" b="18690"/>
        <a:stretch/>
      </xdr:blipFill>
      <xdr:spPr>
        <a:xfrm>
          <a:off x="21235695" y="1234440"/>
          <a:ext cx="4344352" cy="335878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0</xdr:colOff>
          <xdr:row>12</xdr:row>
          <xdr:rowOff>104775</xdr:rowOff>
        </xdr:from>
        <xdr:to>
          <xdr:col>6</xdr:col>
          <xdr:colOff>895350</xdr:colOff>
          <xdr:row>14</xdr:row>
          <xdr:rowOff>142875</xdr:rowOff>
        </xdr:to>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100-00001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Add New Row Below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723900</xdr:colOff>
      <xdr:row>16</xdr:row>
      <xdr:rowOff>38100</xdr:rowOff>
    </xdr:from>
    <xdr:to>
      <xdr:col>17</xdr:col>
      <xdr:colOff>381832</xdr:colOff>
      <xdr:row>22</xdr:row>
      <xdr:rowOff>25400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0045700" y="11137900"/>
          <a:ext cx="10084632" cy="588010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48"/>
  <sheetViews>
    <sheetView showGridLines="0" tabSelected="1" workbookViewId="0">
      <selection activeCell="H15" sqref="H15:J15"/>
    </sheetView>
  </sheetViews>
  <sheetFormatPr defaultColWidth="9.140625" defaultRowHeight="12.75"/>
  <cols>
    <col min="1" max="1" width="8.28515625" style="5" customWidth="1"/>
    <col min="2" max="2" width="15.28515625" style="5" customWidth="1"/>
    <col min="3" max="3" width="5.85546875" style="5" customWidth="1"/>
    <col min="4" max="4" width="13.7109375" style="5" customWidth="1"/>
    <col min="5" max="5" width="5.5703125" style="5" customWidth="1"/>
    <col min="6" max="6" width="3.42578125" style="5" customWidth="1"/>
    <col min="7" max="7" width="15.28515625" style="5" customWidth="1"/>
    <col min="8" max="8" width="10.85546875" style="5" customWidth="1"/>
    <col min="9" max="9" width="9.7109375" style="5" customWidth="1"/>
    <col min="10" max="10" width="13.140625" style="5" customWidth="1"/>
    <col min="11" max="11" width="1.28515625" style="5" customWidth="1"/>
    <col min="12" max="12" width="91" style="5" customWidth="1"/>
    <col min="13" max="16384" width="9.140625" style="5"/>
  </cols>
  <sheetData>
    <row r="1" spans="1:12" ht="16.5">
      <c r="A1" s="289"/>
      <c r="B1" s="290"/>
      <c r="C1" s="290" t="s">
        <v>49</v>
      </c>
      <c r="D1" s="290"/>
      <c r="E1" s="290"/>
      <c r="F1" s="290"/>
      <c r="G1" s="290"/>
      <c r="H1" s="290"/>
      <c r="I1" s="291" t="s">
        <v>352</v>
      </c>
      <c r="J1" s="291"/>
      <c r="K1" s="227"/>
    </row>
    <row r="2" spans="1:12" ht="20.25">
      <c r="A2" s="290"/>
      <c r="B2" s="290"/>
      <c r="C2" s="292" t="s">
        <v>50</v>
      </c>
      <c r="D2" s="292"/>
      <c r="E2" s="292"/>
      <c r="F2" s="292"/>
      <c r="G2" s="292"/>
      <c r="H2" s="292"/>
      <c r="I2" s="290" t="s">
        <v>202</v>
      </c>
      <c r="J2" s="290"/>
      <c r="K2" s="227"/>
    </row>
    <row r="3" spans="1:12" ht="15" customHeight="1">
      <c r="A3" s="19"/>
      <c r="B3" s="19"/>
      <c r="C3" s="19"/>
      <c r="D3" s="19"/>
      <c r="E3" s="19"/>
      <c r="F3" s="19"/>
      <c r="G3" s="19"/>
      <c r="H3" s="19"/>
      <c r="I3" s="19"/>
      <c r="J3" s="19"/>
    </row>
    <row r="4" spans="1:12" ht="20.25" customHeight="1">
      <c r="A4" s="286" t="s">
        <v>51</v>
      </c>
      <c r="B4" s="287"/>
      <c r="C4" s="287"/>
      <c r="D4" s="287"/>
      <c r="E4" s="288"/>
      <c r="F4" s="19"/>
      <c r="G4" s="286" t="s">
        <v>210</v>
      </c>
      <c r="H4" s="287"/>
      <c r="I4" s="287"/>
      <c r="J4" s="288"/>
      <c r="K4" s="228"/>
      <c r="L4"/>
    </row>
    <row r="5" spans="1:12" ht="10.5" customHeight="1">
      <c r="A5" s="20"/>
      <c r="B5" s="20"/>
      <c r="C5" s="20"/>
      <c r="D5" s="20"/>
      <c r="E5" s="20"/>
      <c r="F5" s="20"/>
      <c r="G5" s="20"/>
      <c r="H5" s="20"/>
      <c r="I5" s="20"/>
      <c r="J5" s="20"/>
      <c r="K5" s="84"/>
    </row>
    <row r="6" spans="1:12" ht="15" customHeight="1">
      <c r="A6" s="20" t="s">
        <v>203</v>
      </c>
      <c r="B6" s="21"/>
      <c r="C6" s="21"/>
      <c r="D6" s="21"/>
      <c r="E6" s="22"/>
      <c r="F6" s="21"/>
      <c r="G6" s="21"/>
      <c r="H6" s="21"/>
      <c r="I6" s="21"/>
      <c r="J6" s="21"/>
      <c r="K6" s="229"/>
    </row>
    <row r="7" spans="1:12" ht="15" customHeight="1">
      <c r="A7" s="126" t="s">
        <v>196</v>
      </c>
      <c r="B7" s="125"/>
      <c r="C7" s="125"/>
      <c r="D7" s="127"/>
      <c r="E7" s="128"/>
      <c r="F7" s="130" t="s">
        <v>199</v>
      </c>
      <c r="G7" s="261"/>
      <c r="H7" s="132" t="s">
        <v>204</v>
      </c>
      <c r="I7" s="114"/>
      <c r="J7" s="129"/>
      <c r="K7" s="230"/>
      <c r="L7" s="285" t="s">
        <v>351</v>
      </c>
    </row>
    <row r="8" spans="1:12" ht="14.25" customHeight="1">
      <c r="A8" s="118"/>
      <c r="B8" s="119"/>
      <c r="C8" s="119"/>
      <c r="D8" s="119"/>
      <c r="E8" s="110"/>
      <c r="F8" s="111"/>
      <c r="G8" s="113"/>
      <c r="H8" s="113"/>
      <c r="I8" s="109"/>
      <c r="J8" s="117"/>
      <c r="K8" s="231"/>
      <c r="L8" s="285"/>
    </row>
    <row r="9" spans="1:12" s="165" customFormat="1" ht="15" customHeight="1">
      <c r="A9" s="166" t="s">
        <v>197</v>
      </c>
      <c r="B9" s="167"/>
      <c r="C9" s="167"/>
      <c r="D9" s="167"/>
      <c r="E9" s="164"/>
      <c r="F9" s="121" t="s">
        <v>201</v>
      </c>
      <c r="G9" s="168"/>
      <c r="H9" s="169" t="s">
        <v>204</v>
      </c>
      <c r="I9" s="164"/>
      <c r="J9" s="170"/>
      <c r="L9" s="285"/>
    </row>
    <row r="10" spans="1:12" ht="22.15" customHeight="1">
      <c r="A10" s="123"/>
      <c r="B10" s="124" t="s">
        <v>200</v>
      </c>
      <c r="C10" s="110"/>
      <c r="D10" s="112"/>
      <c r="E10" s="124" t="s">
        <v>211</v>
      </c>
      <c r="H10" s="121"/>
      <c r="I10" s="112"/>
      <c r="J10" s="120"/>
      <c r="K10" s="230"/>
      <c r="L10" s="285"/>
    </row>
    <row r="11" spans="1:12" ht="22.15" customHeight="1">
      <c r="A11" s="123"/>
      <c r="B11" s="124" t="s">
        <v>198</v>
      </c>
      <c r="C11" s="110"/>
      <c r="D11" s="112"/>
      <c r="E11" s="124" t="s">
        <v>235</v>
      </c>
      <c r="F11" s="111"/>
      <c r="G11" s="112"/>
      <c r="H11" s="122"/>
      <c r="I11" s="112"/>
      <c r="J11" s="120"/>
      <c r="K11" s="230"/>
      <c r="L11" s="285"/>
    </row>
    <row r="12" spans="1:12" ht="9" customHeight="1">
      <c r="A12" s="107"/>
      <c r="B12" s="108"/>
      <c r="C12" s="108"/>
      <c r="D12" s="108"/>
      <c r="E12" s="110"/>
      <c r="F12" s="111"/>
      <c r="G12" s="113"/>
      <c r="H12" s="113"/>
      <c r="I12" s="109"/>
      <c r="J12" s="117"/>
      <c r="K12" s="231"/>
      <c r="L12" s="285"/>
    </row>
    <row r="13" spans="1:12" ht="15" customHeight="1">
      <c r="A13" s="116"/>
      <c r="B13" s="115"/>
      <c r="C13" s="115"/>
      <c r="D13" s="115"/>
      <c r="E13" s="115"/>
      <c r="F13" s="131" t="s">
        <v>205</v>
      </c>
      <c r="G13" s="135"/>
      <c r="H13" s="133" t="s">
        <v>204</v>
      </c>
      <c r="I13" s="225"/>
      <c r="J13" s="226"/>
      <c r="K13" s="230"/>
      <c r="L13" s="285"/>
    </row>
    <row r="14" spans="1:12" ht="12.75" customHeight="1">
      <c r="A14" s="21"/>
      <c r="B14" s="21"/>
      <c r="C14" s="21"/>
      <c r="D14" s="21"/>
      <c r="E14" s="21"/>
      <c r="F14" s="21"/>
      <c r="G14" s="21"/>
      <c r="H14" s="21"/>
      <c r="I14" s="21"/>
      <c r="J14" s="21"/>
      <c r="K14" s="229"/>
    </row>
    <row r="15" spans="1:12" ht="19.5" customHeight="1">
      <c r="A15" s="20" t="s">
        <v>52</v>
      </c>
      <c r="B15" s="20"/>
      <c r="C15" s="20"/>
      <c r="D15" s="20"/>
      <c r="E15" s="20"/>
      <c r="F15" s="20"/>
      <c r="G15" s="23" t="s">
        <v>53</v>
      </c>
      <c r="H15" s="293"/>
      <c r="I15" s="293"/>
      <c r="J15" s="293"/>
      <c r="K15" s="228"/>
      <c r="L15" s="285" t="s">
        <v>334</v>
      </c>
    </row>
    <row r="16" spans="1:12" ht="19.5" customHeight="1">
      <c r="A16" s="24"/>
      <c r="B16" s="23" t="s">
        <v>330</v>
      </c>
      <c r="C16" s="279"/>
      <c r="D16" s="279"/>
      <c r="E16" s="279"/>
      <c r="F16" s="279"/>
      <c r="G16" s="279"/>
      <c r="H16" s="279"/>
      <c r="I16" s="279"/>
      <c r="J16" s="279"/>
      <c r="K16" s="228"/>
      <c r="L16" s="285"/>
    </row>
    <row r="17" spans="1:16" ht="19.5" customHeight="1">
      <c r="A17" s="25"/>
      <c r="B17" s="21"/>
      <c r="C17" s="279"/>
      <c r="D17" s="279"/>
      <c r="E17" s="279"/>
      <c r="F17" s="279"/>
      <c r="G17" s="279"/>
      <c r="H17" s="280"/>
      <c r="I17" s="280"/>
      <c r="J17" s="280"/>
      <c r="K17" s="232"/>
      <c r="L17" s="285"/>
    </row>
    <row r="18" spans="1:16" ht="19.5" customHeight="1">
      <c r="A18" s="21"/>
      <c r="B18" s="21"/>
      <c r="C18" s="279"/>
      <c r="D18" s="279"/>
      <c r="E18" s="279"/>
      <c r="F18" s="279"/>
      <c r="G18" s="279"/>
      <c r="H18" s="280"/>
      <c r="I18" s="280"/>
      <c r="J18" s="280"/>
      <c r="K18" s="232"/>
      <c r="L18" s="285"/>
    </row>
    <row r="19" spans="1:16" ht="7.5" customHeight="1">
      <c r="A19" s="21"/>
      <c r="B19" s="21"/>
      <c r="C19" s="21"/>
      <c r="D19" s="21"/>
      <c r="E19" s="21"/>
      <c r="F19" s="21"/>
      <c r="G19" s="21"/>
      <c r="H19" s="21"/>
      <c r="I19" s="21"/>
      <c r="J19" s="21"/>
      <c r="K19" s="229"/>
      <c r="L19" s="285"/>
    </row>
    <row r="20" spans="1:16" ht="30" customHeight="1">
      <c r="A20" s="281" t="s">
        <v>206</v>
      </c>
      <c r="B20" s="281"/>
      <c r="C20" s="281"/>
      <c r="D20" s="281"/>
      <c r="E20" s="281"/>
      <c r="F20" s="281"/>
      <c r="G20" s="281"/>
      <c r="H20" s="281"/>
      <c r="I20" s="281"/>
      <c r="J20" s="281"/>
      <c r="K20" s="233"/>
      <c r="L20" s="285"/>
    </row>
    <row r="21" spans="1:16" ht="18" customHeight="1">
      <c r="A21" s="145" t="s">
        <v>212</v>
      </c>
      <c r="B21" s="282" t="s">
        <v>213</v>
      </c>
      <c r="C21" s="283"/>
      <c r="D21" s="283"/>
      <c r="E21" s="283"/>
      <c r="F21" s="283"/>
      <c r="G21" s="283"/>
      <c r="H21" s="283"/>
      <c r="I21" s="284"/>
      <c r="J21" s="146" t="s">
        <v>214</v>
      </c>
      <c r="K21" s="234"/>
    </row>
    <row r="22" spans="1:16" ht="18" customHeight="1">
      <c r="A22" s="147"/>
      <c r="B22" s="276"/>
      <c r="C22" s="277"/>
      <c r="D22" s="277"/>
      <c r="E22" s="277"/>
      <c r="F22" s="277"/>
      <c r="G22" s="277"/>
      <c r="H22" s="277"/>
      <c r="I22" s="278"/>
      <c r="J22" s="148"/>
      <c r="K22" s="235"/>
    </row>
    <row r="23" spans="1:16" ht="18" customHeight="1">
      <c r="A23" s="147"/>
      <c r="B23" s="276"/>
      <c r="C23" s="277"/>
      <c r="D23" s="277"/>
      <c r="E23" s="277"/>
      <c r="F23" s="277"/>
      <c r="G23" s="277"/>
      <c r="H23" s="277"/>
      <c r="I23" s="278"/>
      <c r="J23" s="148"/>
      <c r="K23" s="235"/>
      <c r="M23" s="6"/>
      <c r="N23" s="6"/>
      <c r="O23" s="6"/>
      <c r="P23" s="6"/>
    </row>
    <row r="24" spans="1:16" ht="18" customHeight="1">
      <c r="A24" s="147"/>
      <c r="B24" s="276"/>
      <c r="C24" s="277"/>
      <c r="D24" s="277"/>
      <c r="E24" s="277"/>
      <c r="F24" s="277"/>
      <c r="G24" s="277"/>
      <c r="H24" s="277"/>
      <c r="I24" s="278"/>
      <c r="J24" s="148"/>
      <c r="K24" s="235"/>
      <c r="M24" s="6"/>
      <c r="N24" s="6"/>
      <c r="O24" s="6"/>
      <c r="P24" s="6"/>
    </row>
    <row r="25" spans="1:16" ht="18" customHeight="1">
      <c r="A25" s="147"/>
      <c r="B25" s="276"/>
      <c r="C25" s="277"/>
      <c r="D25" s="277"/>
      <c r="E25" s="277"/>
      <c r="F25" s="277"/>
      <c r="G25" s="277"/>
      <c r="H25" s="277"/>
      <c r="I25" s="278"/>
      <c r="J25" s="148"/>
      <c r="K25" s="235"/>
      <c r="M25" s="6"/>
      <c r="N25" s="6"/>
      <c r="O25" s="6"/>
      <c r="P25" s="6"/>
    </row>
    <row r="26" spans="1:16" ht="18" customHeight="1">
      <c r="A26" s="147"/>
      <c r="B26" s="276"/>
      <c r="C26" s="277"/>
      <c r="D26" s="277"/>
      <c r="E26" s="277"/>
      <c r="F26" s="277"/>
      <c r="G26" s="277"/>
      <c r="H26" s="277"/>
      <c r="I26" s="278"/>
      <c r="J26" s="148"/>
      <c r="K26" s="235"/>
      <c r="M26" s="6"/>
      <c r="N26" s="6"/>
      <c r="O26" s="6"/>
      <c r="P26" s="6"/>
    </row>
    <row r="27" spans="1:16" ht="18" customHeight="1">
      <c r="A27" s="147"/>
      <c r="B27" s="276"/>
      <c r="C27" s="277"/>
      <c r="D27" s="277"/>
      <c r="E27" s="277"/>
      <c r="F27" s="277"/>
      <c r="G27" s="277"/>
      <c r="H27" s="277"/>
      <c r="I27" s="278"/>
      <c r="J27" s="148"/>
      <c r="K27" s="235"/>
      <c r="M27" s="6"/>
      <c r="N27" s="6"/>
      <c r="O27" s="6"/>
      <c r="P27" s="6"/>
    </row>
    <row r="28" spans="1:16" ht="18" customHeight="1">
      <c r="A28" s="147"/>
      <c r="B28" s="276"/>
      <c r="C28" s="277"/>
      <c r="D28" s="277"/>
      <c r="E28" s="277"/>
      <c r="F28" s="277"/>
      <c r="G28" s="277"/>
      <c r="H28" s="277"/>
      <c r="I28" s="278"/>
      <c r="J28" s="148"/>
      <c r="K28" s="235"/>
      <c r="M28" s="6"/>
      <c r="N28" s="6"/>
      <c r="O28" s="6"/>
      <c r="P28" s="6"/>
    </row>
    <row r="29" spans="1:16" ht="18" customHeight="1">
      <c r="A29" s="147"/>
      <c r="B29" s="276"/>
      <c r="C29" s="277"/>
      <c r="D29" s="277"/>
      <c r="E29" s="277"/>
      <c r="F29" s="277"/>
      <c r="G29" s="277"/>
      <c r="H29" s="277"/>
      <c r="I29" s="278"/>
      <c r="J29" s="148"/>
      <c r="K29" s="235"/>
      <c r="M29" s="6"/>
      <c r="N29" s="6"/>
      <c r="O29" s="6"/>
      <c r="P29" s="6"/>
    </row>
    <row r="30" spans="1:16" ht="18" customHeight="1">
      <c r="A30" s="147"/>
      <c r="B30" s="276"/>
      <c r="C30" s="277"/>
      <c r="D30" s="277"/>
      <c r="E30" s="277"/>
      <c r="F30" s="277"/>
      <c r="G30" s="277"/>
      <c r="H30" s="277"/>
      <c r="I30" s="278"/>
      <c r="J30" s="148"/>
      <c r="K30" s="235"/>
      <c r="M30" s="6"/>
      <c r="N30" s="6"/>
      <c r="O30" s="6"/>
      <c r="P30" s="6"/>
    </row>
    <row r="31" spans="1:16" ht="18" customHeight="1">
      <c r="A31" s="147"/>
      <c r="B31" s="276"/>
      <c r="C31" s="277"/>
      <c r="D31" s="277"/>
      <c r="E31" s="277"/>
      <c r="F31" s="277"/>
      <c r="G31" s="277"/>
      <c r="H31" s="277"/>
      <c r="I31" s="278"/>
      <c r="J31" s="148"/>
      <c r="K31" s="235"/>
      <c r="M31" s="6"/>
      <c r="N31" s="6"/>
      <c r="O31" s="6"/>
      <c r="P31" s="6"/>
    </row>
    <row r="32" spans="1:16" ht="18" customHeight="1">
      <c r="A32" s="147"/>
      <c r="B32" s="276"/>
      <c r="C32" s="277"/>
      <c r="D32" s="277"/>
      <c r="E32" s="277"/>
      <c r="F32" s="277"/>
      <c r="G32" s="277"/>
      <c r="H32" s="277"/>
      <c r="I32" s="278"/>
      <c r="J32" s="148"/>
      <c r="K32" s="235"/>
      <c r="M32" s="6"/>
      <c r="N32" s="6"/>
      <c r="O32" s="6"/>
      <c r="P32" s="6"/>
    </row>
    <row r="33" spans="1:16" ht="18" customHeight="1">
      <c r="A33" s="147"/>
      <c r="B33" s="276"/>
      <c r="C33" s="277"/>
      <c r="D33" s="277"/>
      <c r="E33" s="277"/>
      <c r="F33" s="277"/>
      <c r="G33" s="277"/>
      <c r="H33" s="277"/>
      <c r="I33" s="278"/>
      <c r="J33" s="148"/>
      <c r="K33" s="235"/>
      <c r="M33" s="6"/>
      <c r="N33" s="6"/>
      <c r="O33" s="6"/>
      <c r="P33" s="6"/>
    </row>
    <row r="34" spans="1:16" ht="18" customHeight="1">
      <c r="A34" s="147"/>
      <c r="B34" s="276"/>
      <c r="C34" s="277"/>
      <c r="D34" s="277"/>
      <c r="E34" s="277"/>
      <c r="F34" s="277"/>
      <c r="G34" s="277"/>
      <c r="H34" s="277"/>
      <c r="I34" s="278"/>
      <c r="J34" s="148"/>
      <c r="K34" s="235"/>
      <c r="M34" s="6"/>
      <c r="N34" s="6"/>
      <c r="O34" s="6"/>
      <c r="P34" s="6"/>
    </row>
    <row r="35" spans="1:16" ht="18" customHeight="1">
      <c r="A35" s="147"/>
      <c r="B35" s="156"/>
      <c r="C35" s="157"/>
      <c r="D35" s="157"/>
      <c r="E35" s="157"/>
      <c r="F35" s="157"/>
      <c r="G35" s="157"/>
      <c r="H35" s="157"/>
      <c r="I35" s="158"/>
      <c r="J35" s="148"/>
      <c r="K35" s="235"/>
      <c r="M35" s="6"/>
      <c r="N35" s="6"/>
      <c r="O35" s="6"/>
      <c r="P35" s="6"/>
    </row>
    <row r="36" spans="1:16" ht="18" customHeight="1">
      <c r="A36" s="147"/>
      <c r="B36" s="156"/>
      <c r="C36" s="157"/>
      <c r="D36" s="157"/>
      <c r="E36" s="157"/>
      <c r="F36" s="157"/>
      <c r="G36" s="157"/>
      <c r="H36" s="157"/>
      <c r="I36" s="158"/>
      <c r="J36" s="148"/>
      <c r="K36" s="235"/>
      <c r="M36" s="6"/>
      <c r="N36" s="6"/>
      <c r="O36" s="6"/>
      <c r="P36" s="6"/>
    </row>
    <row r="37" spans="1:16" ht="18" customHeight="1">
      <c r="A37" s="147"/>
      <c r="B37" s="276"/>
      <c r="C37" s="277"/>
      <c r="D37" s="277"/>
      <c r="E37" s="277"/>
      <c r="F37" s="277"/>
      <c r="G37" s="277"/>
      <c r="H37" s="277"/>
      <c r="I37" s="278"/>
      <c r="J37" s="148"/>
      <c r="K37" s="235"/>
      <c r="M37" s="6"/>
      <c r="N37" s="6"/>
      <c r="O37" s="6"/>
      <c r="P37" s="6"/>
    </row>
    <row r="38" spans="1:16" ht="18" customHeight="1">
      <c r="A38" s="147"/>
      <c r="B38" s="276"/>
      <c r="C38" s="277"/>
      <c r="D38" s="277"/>
      <c r="E38" s="277"/>
      <c r="F38" s="277"/>
      <c r="G38" s="277"/>
      <c r="H38" s="277"/>
      <c r="I38" s="278"/>
      <c r="J38" s="148"/>
      <c r="K38" s="235"/>
      <c r="M38" s="6"/>
      <c r="N38" s="6"/>
      <c r="O38" s="6"/>
      <c r="P38" s="6"/>
    </row>
    <row r="39" spans="1:16" ht="18" customHeight="1">
      <c r="A39" s="147"/>
      <c r="B39" s="276"/>
      <c r="C39" s="277"/>
      <c r="D39" s="277"/>
      <c r="E39" s="277"/>
      <c r="F39" s="277"/>
      <c r="G39" s="277"/>
      <c r="H39" s="277"/>
      <c r="I39" s="278"/>
      <c r="J39" s="148"/>
      <c r="K39" s="235"/>
      <c r="M39" s="6"/>
      <c r="N39" s="6"/>
      <c r="O39" s="6"/>
      <c r="P39" s="6"/>
    </row>
    <row r="40" spans="1:16" ht="18" customHeight="1">
      <c r="A40" s="147"/>
      <c r="B40" s="276"/>
      <c r="C40" s="277"/>
      <c r="D40" s="277"/>
      <c r="E40" s="277"/>
      <c r="F40" s="277"/>
      <c r="G40" s="277"/>
      <c r="H40" s="277"/>
      <c r="I40" s="278"/>
      <c r="J40" s="148"/>
      <c r="K40" s="235"/>
      <c r="M40" s="6"/>
      <c r="N40" s="6"/>
      <c r="O40" s="6"/>
      <c r="P40" s="6"/>
    </row>
    <row r="41" spans="1:16" ht="18" customHeight="1">
      <c r="A41" s="147"/>
      <c r="B41" s="276"/>
      <c r="C41" s="277"/>
      <c r="D41" s="277"/>
      <c r="E41" s="277"/>
      <c r="F41" s="277"/>
      <c r="G41" s="277"/>
      <c r="H41" s="277"/>
      <c r="I41" s="278"/>
      <c r="J41" s="148"/>
      <c r="K41" s="235"/>
      <c r="M41" s="6"/>
      <c r="N41" s="6"/>
      <c r="O41" s="6"/>
      <c r="P41" s="6"/>
    </row>
    <row r="42" spans="1:16" ht="18" customHeight="1">
      <c r="A42" s="147"/>
      <c r="B42" s="276"/>
      <c r="C42" s="277"/>
      <c r="D42" s="277"/>
      <c r="E42" s="277"/>
      <c r="F42" s="277"/>
      <c r="G42" s="277"/>
      <c r="H42" s="277"/>
      <c r="I42" s="278"/>
      <c r="J42" s="148"/>
      <c r="K42" s="235"/>
      <c r="M42" s="6"/>
      <c r="N42" s="6"/>
      <c r="O42" s="6"/>
      <c r="P42" s="6"/>
    </row>
    <row r="43" spans="1:16" ht="18" customHeight="1">
      <c r="A43" s="147"/>
      <c r="B43" s="276"/>
      <c r="C43" s="277"/>
      <c r="D43" s="277"/>
      <c r="E43" s="277"/>
      <c r="F43" s="277"/>
      <c r="G43" s="277"/>
      <c r="H43" s="277"/>
      <c r="I43" s="278"/>
      <c r="J43" s="148"/>
      <c r="K43" s="235"/>
      <c r="M43" s="6"/>
      <c r="N43" s="6"/>
      <c r="O43" s="6"/>
      <c r="P43" s="6"/>
    </row>
    <row r="44" spans="1:16" ht="18" customHeight="1">
      <c r="A44" s="147"/>
      <c r="B44" s="276"/>
      <c r="C44" s="277"/>
      <c r="D44" s="277"/>
      <c r="E44" s="277"/>
      <c r="F44" s="277"/>
      <c r="G44" s="277"/>
      <c r="H44" s="277"/>
      <c r="I44" s="278"/>
      <c r="J44" s="148"/>
      <c r="K44" s="235"/>
    </row>
    <row r="45" spans="1:16" ht="24" customHeight="1">
      <c r="A45" s="19"/>
      <c r="B45" s="26"/>
      <c r="C45" s="26"/>
      <c r="D45" s="27"/>
      <c r="E45" s="28"/>
      <c r="F45" s="28"/>
      <c r="G45" s="28"/>
      <c r="H45" s="19"/>
      <c r="I45" s="19"/>
      <c r="J45" s="19"/>
    </row>
    <row r="46" spans="1:16" ht="15" customHeight="1">
      <c r="A46" s="172" t="s">
        <v>236</v>
      </c>
      <c r="B46" s="173"/>
      <c r="C46" s="173"/>
      <c r="D46" s="174"/>
      <c r="E46" s="172" t="s">
        <v>54</v>
      </c>
      <c r="F46" s="173"/>
      <c r="G46" s="173"/>
      <c r="H46" s="173"/>
      <c r="I46" s="175"/>
      <c r="J46" s="171" t="s">
        <v>2</v>
      </c>
      <c r="K46" s="236"/>
    </row>
    <row r="47" spans="1:16" ht="15" customHeight="1">
      <c r="A47" s="264"/>
      <c r="B47" s="265"/>
      <c r="C47" s="265"/>
      <c r="D47" s="266"/>
      <c r="E47" s="270"/>
      <c r="F47" s="271"/>
      <c r="G47" s="271"/>
      <c r="H47" s="271"/>
      <c r="I47" s="272"/>
      <c r="J47" s="262"/>
      <c r="K47" s="237"/>
    </row>
    <row r="48" spans="1:16" ht="15" customHeight="1">
      <c r="A48" s="267"/>
      <c r="B48" s="268"/>
      <c r="C48" s="268"/>
      <c r="D48" s="269"/>
      <c r="E48" s="273"/>
      <c r="F48" s="274"/>
      <c r="G48" s="274"/>
      <c r="H48" s="274"/>
      <c r="I48" s="275"/>
      <c r="J48" s="263"/>
      <c r="K48" s="237"/>
    </row>
  </sheetData>
  <mergeCells count="42">
    <mergeCell ref="L7:L13"/>
    <mergeCell ref="L15:L20"/>
    <mergeCell ref="A4:E4"/>
    <mergeCell ref="G4:J4"/>
    <mergeCell ref="A1:B2"/>
    <mergeCell ref="C1:H1"/>
    <mergeCell ref="I1:J1"/>
    <mergeCell ref="C2:H2"/>
    <mergeCell ref="I2:J2"/>
    <mergeCell ref="H15:J15"/>
    <mergeCell ref="C16:G16"/>
    <mergeCell ref="H16:J16"/>
    <mergeCell ref="C17:G17"/>
    <mergeCell ref="H17:J17"/>
    <mergeCell ref="B29:I29"/>
    <mergeCell ref="C18:G18"/>
    <mergeCell ref="H18:J18"/>
    <mergeCell ref="A20:J20"/>
    <mergeCell ref="B21:I21"/>
    <mergeCell ref="B22:I22"/>
    <mergeCell ref="B23:I23"/>
    <mergeCell ref="B24:I24"/>
    <mergeCell ref="B25:I25"/>
    <mergeCell ref="B26:I26"/>
    <mergeCell ref="B27:I27"/>
    <mergeCell ref="B28:I28"/>
    <mergeCell ref="B41:I41"/>
    <mergeCell ref="B30:I30"/>
    <mergeCell ref="B31:I31"/>
    <mergeCell ref="B32:I32"/>
    <mergeCell ref="B33:I33"/>
    <mergeCell ref="B34:I34"/>
    <mergeCell ref="B37:I37"/>
    <mergeCell ref="B38:I38"/>
    <mergeCell ref="B39:I39"/>
    <mergeCell ref="B40:I40"/>
    <mergeCell ref="J47:J48"/>
    <mergeCell ref="A47:D48"/>
    <mergeCell ref="E47:I48"/>
    <mergeCell ref="B42:I42"/>
    <mergeCell ref="B43:I43"/>
    <mergeCell ref="B44:I44"/>
  </mergeCells>
  <printOptions horizontalCentered="1"/>
  <pageMargins left="0.31496062992125984" right="0.31496062992125984" top="0.55118110236220474" bottom="0.55118110236220474" header="0.19685039370078741" footer="0.19685039370078741"/>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600075</xdr:colOff>
                    <xdr:row>5</xdr:row>
                    <xdr:rowOff>171450</xdr:rowOff>
                  </from>
                  <to>
                    <xdr:col>1</xdr:col>
                    <xdr:colOff>933450</xdr:colOff>
                    <xdr:row>7</xdr:row>
                    <xdr:rowOff>19050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3</xdr:col>
                    <xdr:colOff>714375</xdr:colOff>
                    <xdr:row>10</xdr:row>
                    <xdr:rowOff>85725</xdr:rowOff>
                  </from>
                  <to>
                    <xdr:col>4</xdr:col>
                    <xdr:colOff>95250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0</xdr:col>
                    <xdr:colOff>323850</xdr:colOff>
                    <xdr:row>9</xdr:row>
                    <xdr:rowOff>85725</xdr:rowOff>
                  </from>
                  <to>
                    <xdr:col>1</xdr:col>
                    <xdr:colOff>85725</xdr:colOff>
                    <xdr:row>10</xdr:row>
                    <xdr:rowOff>28575</xdr:rowOff>
                  </to>
                </anchor>
              </controlPr>
            </control>
          </mc:Choice>
        </mc:AlternateContent>
        <mc:AlternateContent xmlns:mc="http://schemas.openxmlformats.org/markup-compatibility/2006">
          <mc:Choice Requires="x14">
            <control shapeId="13316" r:id="rId7" name="Check Box 4">
              <controlPr defaultSize="0" autoFill="0" autoLine="0" autoPict="0">
                <anchor moveWithCells="1">
                  <from>
                    <xdr:col>3</xdr:col>
                    <xdr:colOff>714375</xdr:colOff>
                    <xdr:row>9</xdr:row>
                    <xdr:rowOff>85725</xdr:rowOff>
                  </from>
                  <to>
                    <xdr:col>4</xdr:col>
                    <xdr:colOff>95250</xdr:colOff>
                    <xdr:row>10</xdr:row>
                    <xdr:rowOff>28575</xdr:rowOff>
                  </to>
                </anchor>
              </controlPr>
            </control>
          </mc:Choice>
        </mc:AlternateContent>
        <mc:AlternateContent xmlns:mc="http://schemas.openxmlformats.org/markup-compatibility/2006">
          <mc:Choice Requires="x14">
            <control shapeId="13317" r:id="rId8" name="Check Box 5">
              <controlPr defaultSize="0" autoFill="0" autoLine="0" autoPict="0">
                <anchor moveWithCells="1">
                  <from>
                    <xdr:col>0</xdr:col>
                    <xdr:colOff>323850</xdr:colOff>
                    <xdr:row>10</xdr:row>
                    <xdr:rowOff>76200</xdr:rowOff>
                  </from>
                  <to>
                    <xdr:col>1</xdr:col>
                    <xdr:colOff>76200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I70"/>
  <sheetViews>
    <sheetView showGridLines="0" zoomScaleNormal="100" workbookViewId="0">
      <selection activeCell="D1" sqref="D1"/>
    </sheetView>
  </sheetViews>
  <sheetFormatPr defaultColWidth="11.42578125" defaultRowHeight="12.75" outlineLevelRow="1" outlineLevelCol="1"/>
  <cols>
    <col min="1" max="1" width="4.140625" customWidth="1"/>
    <col min="2" max="2" width="26.28515625" customWidth="1"/>
    <col min="3" max="3" width="15.5703125" customWidth="1"/>
    <col min="4" max="8" width="13.7109375" customWidth="1"/>
    <col min="9" max="9" width="3.5703125" customWidth="1"/>
    <col min="10" max="10" width="13.7109375" customWidth="1"/>
    <col min="11" max="11" width="6.7109375" customWidth="1"/>
    <col min="12" max="14" width="12.7109375" customWidth="1"/>
    <col min="15" max="15" width="3.7109375" customWidth="1"/>
    <col min="16" max="17" width="13.7109375" customWidth="1"/>
    <col min="18" max="18" width="16.140625" customWidth="1"/>
    <col min="19" max="19" width="46.140625" customWidth="1"/>
    <col min="20" max="20" width="5.7109375" customWidth="1"/>
    <col min="21" max="22" width="10.7109375" customWidth="1"/>
    <col min="23" max="23" width="21" hidden="1" customWidth="1"/>
    <col min="24" max="24" width="12.7109375" customWidth="1"/>
    <col min="25" max="25" width="51.5703125" customWidth="1"/>
    <col min="26" max="27" width="10.7109375" customWidth="1"/>
    <col min="28" max="28" width="17.85546875" hidden="1" customWidth="1"/>
    <col min="29" max="29" width="12.7109375" customWidth="1"/>
    <col min="30" max="30" width="29.140625" customWidth="1"/>
    <col min="31" max="31" width="10.7109375" customWidth="1"/>
    <col min="32" max="32" width="3.5703125" customWidth="1"/>
    <col min="33" max="33" width="5.7109375" style="79" customWidth="1"/>
    <col min="34" max="58" width="3.7109375" style="75" hidden="1" customWidth="1" outlineLevel="1"/>
    <col min="59" max="59" width="3.7109375" style="75" customWidth="1" collapsed="1"/>
    <col min="60" max="60" width="7.42578125" style="75" customWidth="1"/>
    <col min="61" max="61" width="5.7109375" customWidth="1"/>
    <col min="62" max="86" width="3.7109375" hidden="1" customWidth="1" outlineLevel="1"/>
    <col min="87" max="87" width="11.42578125" collapsed="1"/>
  </cols>
  <sheetData>
    <row r="1" spans="1:86" ht="20.25" outlineLevel="1">
      <c r="A1" s="253" t="s">
        <v>327</v>
      </c>
    </row>
    <row r="2" spans="1:86" outlineLevel="1"/>
    <row r="3" spans="1:86" ht="19.899999999999999" customHeight="1" outlineLevel="1">
      <c r="A3" s="315" t="s">
        <v>343</v>
      </c>
      <c r="B3" s="315"/>
      <c r="C3" s="315"/>
      <c r="D3" s="320" t="s">
        <v>55</v>
      </c>
      <c r="E3" s="320"/>
      <c r="F3" s="320"/>
      <c r="G3" s="320"/>
      <c r="H3" s="320"/>
      <c r="I3" s="47"/>
      <c r="J3" s="47"/>
      <c r="K3" s="47"/>
      <c r="L3" s="65"/>
      <c r="M3" s="65"/>
      <c r="N3" s="65"/>
      <c r="O3" s="322"/>
      <c r="P3" s="322"/>
      <c r="Q3" s="322"/>
      <c r="R3" s="52"/>
      <c r="S3" s="33"/>
      <c r="T3" s="33"/>
      <c r="U3" s="33"/>
      <c r="V3" s="33"/>
      <c r="W3" s="33"/>
      <c r="X3" s="33"/>
      <c r="Y3" s="33"/>
      <c r="Z3" s="33"/>
      <c r="AA3" s="33"/>
      <c r="AB3" s="33"/>
      <c r="AC3" s="33"/>
      <c r="AD3" s="33"/>
      <c r="AE3" s="33"/>
      <c r="AF3" s="33"/>
    </row>
    <row r="4" spans="1:86" ht="45" customHeight="1" outlineLevel="1">
      <c r="A4" s="315"/>
      <c r="B4" s="315"/>
      <c r="C4" s="315"/>
      <c r="D4" s="63" t="s">
        <v>150</v>
      </c>
      <c r="E4" s="63" t="s">
        <v>149</v>
      </c>
      <c r="F4" s="63" t="s">
        <v>153</v>
      </c>
      <c r="G4" s="63" t="s">
        <v>152</v>
      </c>
      <c r="H4" s="63" t="s">
        <v>151</v>
      </c>
      <c r="I4" s="183"/>
      <c r="J4" s="314" t="s">
        <v>247</v>
      </c>
      <c r="K4" s="314"/>
      <c r="L4" s="314"/>
      <c r="M4" s="314"/>
      <c r="N4" s="314"/>
      <c r="P4" s="67" t="s">
        <v>139</v>
      </c>
      <c r="Q4" s="67" t="s">
        <v>141</v>
      </c>
      <c r="R4" s="71" t="s">
        <v>143</v>
      </c>
      <c r="S4" s="70" t="s">
        <v>131</v>
      </c>
      <c r="T4" s="312" t="s">
        <v>207</v>
      </c>
      <c r="U4" s="312"/>
      <c r="V4" s="312"/>
      <c r="W4" s="33"/>
      <c r="X4" s="33"/>
      <c r="Y4" s="33"/>
      <c r="Z4" s="33"/>
      <c r="AA4" s="33"/>
      <c r="AB4" s="33"/>
      <c r="AC4" s="33"/>
      <c r="AD4" s="33"/>
      <c r="AE4" s="33"/>
      <c r="AF4" s="33"/>
    </row>
    <row r="5" spans="1:86" ht="60" customHeight="1" outlineLevel="1" thickBot="1">
      <c r="A5" s="316" t="s">
        <v>56</v>
      </c>
      <c r="B5" s="181" t="s">
        <v>271</v>
      </c>
      <c r="C5" s="37" t="s">
        <v>154</v>
      </c>
      <c r="D5" s="196" t="s">
        <v>268</v>
      </c>
      <c r="E5" s="197" t="s">
        <v>100</v>
      </c>
      <c r="F5" s="51" t="s">
        <v>99</v>
      </c>
      <c r="G5" s="64" t="s">
        <v>136</v>
      </c>
      <c r="H5" s="64" t="s">
        <v>136</v>
      </c>
      <c r="I5" s="184"/>
      <c r="J5" s="313" t="s">
        <v>148</v>
      </c>
      <c r="K5" s="313"/>
      <c r="L5" s="313"/>
      <c r="M5" s="313"/>
      <c r="N5" s="313"/>
      <c r="P5" s="64" t="s">
        <v>136</v>
      </c>
      <c r="Q5" s="68" t="s">
        <v>142</v>
      </c>
      <c r="R5" s="72" t="s">
        <v>144</v>
      </c>
      <c r="S5" s="69" t="s">
        <v>243</v>
      </c>
      <c r="T5" s="305" t="s">
        <v>105</v>
      </c>
      <c r="U5" s="306"/>
      <c r="V5" s="307"/>
      <c r="W5" s="34"/>
      <c r="X5" s="34"/>
      <c r="Y5" s="34"/>
      <c r="Z5" s="34"/>
      <c r="AA5" s="34"/>
      <c r="AB5" s="34"/>
      <c r="AC5" s="34"/>
      <c r="AD5" s="34"/>
      <c r="AE5" s="34"/>
      <c r="AF5" s="34"/>
    </row>
    <row r="6" spans="1:86" ht="60" customHeight="1" outlineLevel="1" thickTop="1">
      <c r="A6" s="316"/>
      <c r="B6" s="181" t="s">
        <v>281</v>
      </c>
      <c r="C6" s="37" t="s">
        <v>156</v>
      </c>
      <c r="D6" s="149" t="s">
        <v>137</v>
      </c>
      <c r="E6" s="198" t="s">
        <v>268</v>
      </c>
      <c r="F6" s="199" t="s">
        <v>100</v>
      </c>
      <c r="G6" s="51" t="s">
        <v>99</v>
      </c>
      <c r="H6" s="64" t="s">
        <v>136</v>
      </c>
      <c r="I6" s="184"/>
      <c r="J6" s="313"/>
      <c r="K6" s="313"/>
      <c r="L6" s="313"/>
      <c r="M6" s="313"/>
      <c r="N6" s="313"/>
      <c r="P6" s="51" t="s">
        <v>99</v>
      </c>
      <c r="Q6" s="68" t="s">
        <v>142</v>
      </c>
      <c r="R6" s="68" t="s">
        <v>147</v>
      </c>
      <c r="S6" s="69" t="s">
        <v>244</v>
      </c>
      <c r="T6" s="305" t="s">
        <v>225</v>
      </c>
      <c r="U6" s="306"/>
      <c r="V6" s="307"/>
      <c r="W6" s="38"/>
      <c r="X6" s="34"/>
      <c r="Y6" s="34"/>
      <c r="Z6" s="34"/>
      <c r="AA6" s="34"/>
      <c r="AB6" s="34"/>
      <c r="AC6" s="34"/>
      <c r="AD6" s="34"/>
      <c r="AE6" s="34"/>
      <c r="AF6" s="34"/>
    </row>
    <row r="7" spans="1:86" ht="60" customHeight="1" outlineLevel="1" thickBot="1">
      <c r="A7" s="316"/>
      <c r="B7" s="181" t="s">
        <v>284</v>
      </c>
      <c r="C7" s="37" t="s">
        <v>157</v>
      </c>
      <c r="D7" s="149" t="s">
        <v>137</v>
      </c>
      <c r="E7" s="196" t="s">
        <v>268</v>
      </c>
      <c r="F7" s="197" t="s">
        <v>100</v>
      </c>
      <c r="G7" s="200" t="s">
        <v>100</v>
      </c>
      <c r="H7" s="51" t="s">
        <v>99</v>
      </c>
      <c r="I7" s="184"/>
      <c r="J7" s="313"/>
      <c r="K7" s="313"/>
      <c r="L7" s="313"/>
      <c r="M7" s="313"/>
      <c r="N7" s="313"/>
      <c r="P7" s="200" t="s">
        <v>100</v>
      </c>
      <c r="Q7" s="68" t="s">
        <v>231</v>
      </c>
      <c r="R7" s="68" t="s">
        <v>147</v>
      </c>
      <c r="S7" s="69" t="s">
        <v>245</v>
      </c>
      <c r="T7" s="305" t="s">
        <v>226</v>
      </c>
      <c r="U7" s="306"/>
      <c r="V7" s="307"/>
      <c r="W7" s="38"/>
      <c r="X7" s="34"/>
      <c r="Y7" s="34"/>
      <c r="Z7" s="34"/>
      <c r="AA7" s="34"/>
      <c r="AB7" s="34"/>
      <c r="AC7" s="34"/>
      <c r="AD7" s="34"/>
      <c r="AE7" s="34"/>
      <c r="AF7" s="34"/>
    </row>
    <row r="8" spans="1:86" ht="60" customHeight="1" outlineLevel="1" thickTop="1" thickBot="1">
      <c r="A8" s="316"/>
      <c r="B8" s="181" t="s">
        <v>265</v>
      </c>
      <c r="C8" s="37" t="s">
        <v>155</v>
      </c>
      <c r="D8" s="149" t="s">
        <v>137</v>
      </c>
      <c r="E8" s="149" t="s">
        <v>137</v>
      </c>
      <c r="F8" s="198" t="s">
        <v>268</v>
      </c>
      <c r="G8" s="197" t="s">
        <v>100</v>
      </c>
      <c r="H8" s="201" t="s">
        <v>100</v>
      </c>
      <c r="I8" s="59"/>
      <c r="J8" s="204" t="s">
        <v>274</v>
      </c>
      <c r="K8" s="185"/>
      <c r="L8" s="185"/>
      <c r="M8" s="185"/>
      <c r="N8" s="185"/>
      <c r="P8" s="206" t="s">
        <v>268</v>
      </c>
      <c r="Q8" s="68" t="s">
        <v>140</v>
      </c>
      <c r="R8" s="72" t="s">
        <v>146</v>
      </c>
      <c r="S8" s="69" t="s">
        <v>246</v>
      </c>
      <c r="T8" s="308" t="s">
        <v>145</v>
      </c>
      <c r="U8" s="309"/>
      <c r="V8" s="310"/>
      <c r="W8" s="34"/>
      <c r="X8" s="34"/>
      <c r="Y8" s="34"/>
      <c r="Z8" s="34"/>
      <c r="AA8" s="34"/>
      <c r="AB8" s="34"/>
      <c r="AC8" s="34"/>
      <c r="AD8" s="34"/>
      <c r="AE8" s="34"/>
      <c r="AF8" s="34"/>
    </row>
    <row r="9" spans="1:86" ht="60" customHeight="1" outlineLevel="1" thickTop="1">
      <c r="A9" s="316"/>
      <c r="B9" s="181" t="s">
        <v>266</v>
      </c>
      <c r="C9" s="37" t="s">
        <v>267</v>
      </c>
      <c r="D9" s="149" t="s">
        <v>137</v>
      </c>
      <c r="E9" s="149" t="s">
        <v>137</v>
      </c>
      <c r="F9" s="149" t="s">
        <v>137</v>
      </c>
      <c r="G9" s="202" t="s">
        <v>268</v>
      </c>
      <c r="H9" s="202" t="s">
        <v>268</v>
      </c>
      <c r="I9" s="203"/>
      <c r="J9" s="205" t="s">
        <v>273</v>
      </c>
      <c r="K9" s="185"/>
      <c r="L9" s="185"/>
      <c r="M9" s="185"/>
      <c r="N9" s="185"/>
      <c r="P9" s="150" t="s">
        <v>137</v>
      </c>
      <c r="Q9" s="68" t="s">
        <v>140</v>
      </c>
      <c r="R9" s="72" t="s">
        <v>146</v>
      </c>
      <c r="S9" s="69" t="s">
        <v>246</v>
      </c>
      <c r="T9" s="308" t="s">
        <v>145</v>
      </c>
      <c r="U9" s="309"/>
      <c r="V9" s="310"/>
      <c r="W9" s="34"/>
      <c r="X9" s="34"/>
      <c r="Y9" s="34"/>
      <c r="Z9" s="34"/>
      <c r="AA9" s="34"/>
      <c r="AB9" s="34"/>
      <c r="AC9" s="34"/>
      <c r="AD9" s="34"/>
      <c r="AE9" s="34"/>
      <c r="AF9" s="34"/>
    </row>
    <row r="10" spans="1:86" ht="12" customHeight="1" outlineLevel="1">
      <c r="A10" s="256" t="s">
        <v>342</v>
      </c>
      <c r="B10" s="35"/>
      <c r="C10" s="35"/>
      <c r="D10" s="35"/>
      <c r="E10" s="35"/>
      <c r="F10" s="35"/>
      <c r="G10" s="35"/>
      <c r="H10" s="35"/>
      <c r="I10" s="35"/>
      <c r="J10" s="35"/>
      <c r="K10" s="35"/>
      <c r="L10" s="35"/>
      <c r="M10" s="35"/>
      <c r="N10" s="35"/>
      <c r="O10" s="35"/>
      <c r="P10" s="35"/>
      <c r="Q10" s="35"/>
      <c r="R10" s="35"/>
      <c r="S10" s="35"/>
      <c r="T10" s="311"/>
      <c r="U10" s="311"/>
      <c r="V10" s="311"/>
      <c r="W10" s="35"/>
      <c r="X10" s="35"/>
      <c r="Y10" s="42"/>
      <c r="Z10" s="35"/>
      <c r="AA10" s="35"/>
      <c r="AB10" s="35"/>
      <c r="AC10" s="35"/>
      <c r="AD10" s="35"/>
      <c r="AE10" s="35"/>
      <c r="AF10" s="35"/>
      <c r="AG10" s="80"/>
    </row>
    <row r="11" spans="1:86" ht="12" customHeight="1" outlineLevel="1">
      <c r="A11" s="4"/>
      <c r="B11" s="35"/>
      <c r="C11" s="35"/>
      <c r="D11" s="35"/>
      <c r="E11" s="35"/>
      <c r="F11" s="35"/>
      <c r="G11" s="35"/>
      <c r="H11" s="35"/>
      <c r="I11" s="35"/>
      <c r="J11" s="35"/>
      <c r="K11" s="35"/>
      <c r="L11" s="35"/>
      <c r="M11" s="35"/>
      <c r="N11" s="35"/>
      <c r="O11" s="35"/>
      <c r="P11" s="35"/>
      <c r="Q11" s="35"/>
      <c r="R11" s="35"/>
      <c r="S11" s="35"/>
      <c r="T11" s="252"/>
      <c r="U11" s="252"/>
      <c r="V11" s="252"/>
      <c r="W11" s="35"/>
      <c r="X11" s="35"/>
      <c r="Y11" s="42"/>
      <c r="Z11" s="35"/>
      <c r="AA11" s="35"/>
      <c r="AB11" s="35"/>
      <c r="AC11" s="35"/>
      <c r="AD11" s="35"/>
      <c r="AE11" s="35"/>
      <c r="AF11" s="35"/>
      <c r="AG11" s="80"/>
    </row>
    <row r="12" spans="1:86" ht="20.25">
      <c r="A12" s="254" t="s">
        <v>328</v>
      </c>
      <c r="B12" s="35"/>
      <c r="C12" s="35"/>
      <c r="D12" s="35"/>
      <c r="E12" s="35"/>
      <c r="F12" s="35"/>
      <c r="G12" s="35"/>
      <c r="H12" s="35"/>
      <c r="I12" s="35"/>
      <c r="J12" s="35"/>
      <c r="K12" s="35"/>
      <c r="L12" s="35"/>
      <c r="M12" s="35"/>
      <c r="N12" s="35"/>
      <c r="O12" s="35"/>
      <c r="P12" s="35"/>
      <c r="Q12" s="35"/>
      <c r="R12" s="35"/>
      <c r="S12" s="35"/>
      <c r="T12" s="252"/>
      <c r="U12" s="252"/>
      <c r="V12" s="252"/>
      <c r="W12" s="35"/>
      <c r="X12" s="35"/>
      <c r="Y12" s="42"/>
      <c r="Z12" s="35"/>
      <c r="AA12" s="35"/>
      <c r="AB12" s="35"/>
      <c r="AC12" s="35"/>
      <c r="AD12" s="35"/>
      <c r="AE12" s="35"/>
      <c r="AF12" s="35"/>
      <c r="AG12" s="80"/>
    </row>
    <row r="13" spans="1:86" ht="12" customHeight="1">
      <c r="A13" s="4"/>
      <c r="B13" s="35"/>
      <c r="C13" s="35"/>
      <c r="D13" s="35"/>
      <c r="E13" s="35"/>
      <c r="F13" s="35"/>
      <c r="G13" s="35"/>
      <c r="H13" s="35"/>
      <c r="I13" s="35"/>
      <c r="J13" s="35"/>
      <c r="K13" s="35"/>
      <c r="L13" s="35"/>
      <c r="M13" s="35"/>
      <c r="N13" s="35"/>
      <c r="O13" s="35"/>
      <c r="P13" s="35"/>
      <c r="Q13" s="35"/>
      <c r="R13" s="35"/>
      <c r="S13" s="35"/>
      <c r="T13" s="252"/>
      <c r="U13" s="252"/>
      <c r="V13" s="252"/>
      <c r="W13" s="35"/>
      <c r="X13" s="35"/>
      <c r="Y13" s="42"/>
      <c r="Z13" s="35"/>
      <c r="AA13" s="35"/>
      <c r="AB13" s="35"/>
      <c r="AC13" s="35"/>
      <c r="AD13" s="35"/>
      <c r="AE13" s="35"/>
      <c r="AF13" s="35"/>
      <c r="AG13" s="80"/>
    </row>
    <row r="14" spans="1:86">
      <c r="A14" s="8" t="str">
        <f>'Cover Page'!A4</f>
        <v xml:space="preserve">Station / Business Unit: </v>
      </c>
      <c r="B14" s="13"/>
      <c r="C14" s="13"/>
      <c r="D14" s="13"/>
      <c r="E14" s="13"/>
      <c r="F14" s="13"/>
      <c r="G14" s="13"/>
      <c r="H14" s="13"/>
      <c r="I14" s="13"/>
      <c r="J14" s="13"/>
      <c r="K14" s="13"/>
      <c r="L14" s="13"/>
      <c r="M14" s="13"/>
      <c r="N14" s="13"/>
      <c r="O14" s="13"/>
      <c r="P14" s="13"/>
      <c r="Q14" s="13"/>
      <c r="R14" s="13"/>
      <c r="S14" s="13"/>
      <c r="T14" s="13"/>
      <c r="U14" s="13"/>
      <c r="V14" s="13"/>
      <c r="W14" s="13"/>
      <c r="X14" s="13"/>
      <c r="Y14" s="42"/>
      <c r="Z14" s="13"/>
      <c r="AA14" s="13"/>
      <c r="AB14" s="13"/>
      <c r="AC14" s="13"/>
      <c r="AD14" s="13"/>
      <c r="AE14" s="13"/>
      <c r="AF14" s="13"/>
      <c r="AG14" s="80"/>
    </row>
    <row r="15" spans="1:86" s="8" customFormat="1" ht="12.75" customHeight="1">
      <c r="A15" s="8" t="str">
        <f>'Cover Page'!G4</f>
        <v xml:space="preserve">Type of Operation: </v>
      </c>
      <c r="H15" s="134"/>
      <c r="I15" s="134"/>
      <c r="J15" s="136"/>
      <c r="K15" s="136"/>
      <c r="M15" s="134"/>
      <c r="N15" s="136"/>
      <c r="S15" s="299"/>
      <c r="T15" s="299"/>
      <c r="U15" s="299"/>
      <c r="V15" s="299"/>
      <c r="Y15" s="299"/>
      <c r="Z15" s="299"/>
      <c r="AA15" s="299"/>
      <c r="AB15" s="299"/>
      <c r="AC15" s="299"/>
      <c r="AD15" s="299"/>
      <c r="AE15" s="299"/>
      <c r="AG15" s="87" t="s">
        <v>167</v>
      </c>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c r="BI15" s="76" t="s">
        <v>168</v>
      </c>
    </row>
    <row r="16" spans="1:86" ht="15" customHeight="1">
      <c r="A16" s="4"/>
      <c r="B16" s="2"/>
      <c r="C16" s="2"/>
      <c r="D16" s="2"/>
      <c r="E16" s="2"/>
      <c r="F16" s="2"/>
      <c r="G16" s="2"/>
      <c r="H16" s="1"/>
      <c r="I16" s="1"/>
      <c r="J16" s="1"/>
      <c r="K16" s="1"/>
      <c r="L16" s="1"/>
      <c r="M16" s="1"/>
      <c r="N16" s="1"/>
      <c r="O16" s="1"/>
      <c r="P16" s="1"/>
      <c r="Q16" s="1"/>
      <c r="R16" s="1"/>
      <c r="S16" s="1"/>
      <c r="T16" s="3"/>
      <c r="U16" s="1"/>
      <c r="V16" s="1"/>
      <c r="W16" s="1"/>
      <c r="X16" s="1"/>
      <c r="Y16" s="1"/>
      <c r="Z16" s="1"/>
      <c r="AA16" s="1"/>
      <c r="AB16" s="1"/>
      <c r="AC16" s="1"/>
      <c r="AD16" s="1"/>
      <c r="AE16" s="1"/>
      <c r="AF16" s="1"/>
      <c r="AG16" s="81" t="s">
        <v>158</v>
      </c>
      <c r="AH16" s="248" t="s">
        <v>289</v>
      </c>
      <c r="AI16" s="248" t="s">
        <v>289</v>
      </c>
      <c r="AJ16" s="248" t="s">
        <v>289</v>
      </c>
      <c r="AK16" s="248" t="s">
        <v>289</v>
      </c>
      <c r="AL16" s="248" t="s">
        <v>289</v>
      </c>
      <c r="AM16" s="248" t="s">
        <v>290</v>
      </c>
      <c r="AN16" s="248" t="s">
        <v>290</v>
      </c>
      <c r="AO16" s="248" t="s">
        <v>290</v>
      </c>
      <c r="AP16" s="248" t="s">
        <v>290</v>
      </c>
      <c r="AQ16" s="248" t="s">
        <v>290</v>
      </c>
      <c r="AR16" s="248" t="s">
        <v>291</v>
      </c>
      <c r="AS16" s="248" t="s">
        <v>291</v>
      </c>
      <c r="AT16" s="248" t="s">
        <v>291</v>
      </c>
      <c r="AU16" s="248" t="s">
        <v>291</v>
      </c>
      <c r="AV16" s="248" t="s">
        <v>291</v>
      </c>
      <c r="AW16" s="248" t="s">
        <v>292</v>
      </c>
      <c r="AX16" s="248" t="s">
        <v>292</v>
      </c>
      <c r="AY16" s="248" t="s">
        <v>292</v>
      </c>
      <c r="AZ16" s="248" t="s">
        <v>292</v>
      </c>
      <c r="BA16" s="248" t="s">
        <v>292</v>
      </c>
      <c r="BB16" s="248" t="s">
        <v>293</v>
      </c>
      <c r="BC16" s="248" t="s">
        <v>293</v>
      </c>
      <c r="BD16" s="248" t="s">
        <v>293</v>
      </c>
      <c r="BE16" s="248" t="s">
        <v>293</v>
      </c>
      <c r="BF16" s="248" t="s">
        <v>293</v>
      </c>
      <c r="BI16" s="88" t="s">
        <v>160</v>
      </c>
      <c r="BJ16" s="248" t="s">
        <v>289</v>
      </c>
      <c r="BK16" s="248" t="s">
        <v>289</v>
      </c>
      <c r="BL16" s="248" t="s">
        <v>289</v>
      </c>
      <c r="BM16" s="248" t="s">
        <v>289</v>
      </c>
      <c r="BN16" s="248" t="s">
        <v>289</v>
      </c>
      <c r="BO16" s="248" t="s">
        <v>290</v>
      </c>
      <c r="BP16" s="248" t="s">
        <v>290</v>
      </c>
      <c r="BQ16" s="248" t="s">
        <v>290</v>
      </c>
      <c r="BR16" s="248" t="s">
        <v>290</v>
      </c>
      <c r="BS16" s="248" t="s">
        <v>290</v>
      </c>
      <c r="BT16" s="248" t="s">
        <v>291</v>
      </c>
      <c r="BU16" s="248" t="s">
        <v>291</v>
      </c>
      <c r="BV16" s="248" t="s">
        <v>291</v>
      </c>
      <c r="BW16" s="248" t="s">
        <v>291</v>
      </c>
      <c r="BX16" s="248" t="s">
        <v>291</v>
      </c>
      <c r="BY16" s="248" t="s">
        <v>292</v>
      </c>
      <c r="BZ16" s="248" t="s">
        <v>292</v>
      </c>
      <c r="CA16" s="248" t="s">
        <v>292</v>
      </c>
      <c r="CB16" s="248" t="s">
        <v>292</v>
      </c>
      <c r="CC16" s="248" t="s">
        <v>292</v>
      </c>
      <c r="CD16" s="248" t="s">
        <v>293</v>
      </c>
      <c r="CE16" s="248" t="s">
        <v>293</v>
      </c>
      <c r="CF16" s="248" t="s">
        <v>293</v>
      </c>
      <c r="CG16" s="248" t="s">
        <v>293</v>
      </c>
      <c r="CH16" s="248" t="s">
        <v>293</v>
      </c>
    </row>
    <row r="17" spans="1:86" s="73" customFormat="1" ht="19.149999999999999" customHeight="1">
      <c r="A17" s="324" t="s">
        <v>335</v>
      </c>
      <c r="B17" s="325"/>
      <c r="C17" s="326"/>
      <c r="D17" s="330" t="s">
        <v>336</v>
      </c>
      <c r="E17" s="331"/>
      <c r="F17" s="331"/>
      <c r="G17" s="331"/>
      <c r="H17" s="331"/>
      <c r="I17" s="331"/>
      <c r="J17" s="331"/>
      <c r="K17" s="332"/>
      <c r="L17" s="330" t="s">
        <v>337</v>
      </c>
      <c r="M17" s="331"/>
      <c r="N17" s="331"/>
      <c r="O17" s="331"/>
      <c r="P17" s="331"/>
      <c r="Q17" s="331"/>
      <c r="R17" s="332"/>
      <c r="S17" s="297" t="s">
        <v>338</v>
      </c>
      <c r="T17" s="329"/>
      <c r="U17" s="329"/>
      <c r="V17" s="329"/>
      <c r="W17" s="329"/>
      <c r="X17" s="298"/>
      <c r="Y17" s="251" t="s">
        <v>339</v>
      </c>
      <c r="Z17" s="323" t="s">
        <v>340</v>
      </c>
      <c r="AA17" s="323"/>
      <c r="AB17" s="323"/>
      <c r="AC17" s="323"/>
      <c r="AD17" s="297" t="s">
        <v>341</v>
      </c>
      <c r="AE17" s="298"/>
      <c r="AG17" s="81" t="s">
        <v>159</v>
      </c>
      <c r="AH17" s="248" t="s">
        <v>294</v>
      </c>
      <c r="AI17" s="248" t="s">
        <v>295</v>
      </c>
      <c r="AJ17" s="248" t="s">
        <v>296</v>
      </c>
      <c r="AK17" s="248" t="s">
        <v>297</v>
      </c>
      <c r="AL17" s="248" t="s">
        <v>298</v>
      </c>
      <c r="AM17" s="248" t="s">
        <v>294</v>
      </c>
      <c r="AN17" s="248" t="s">
        <v>295</v>
      </c>
      <c r="AO17" s="248" t="s">
        <v>296</v>
      </c>
      <c r="AP17" s="248" t="s">
        <v>297</v>
      </c>
      <c r="AQ17" s="248" t="s">
        <v>298</v>
      </c>
      <c r="AR17" s="248" t="s">
        <v>294</v>
      </c>
      <c r="AS17" s="248" t="s">
        <v>295</v>
      </c>
      <c r="AT17" s="248" t="s">
        <v>296</v>
      </c>
      <c r="AU17" s="248" t="s">
        <v>297</v>
      </c>
      <c r="AV17" s="248" t="s">
        <v>298</v>
      </c>
      <c r="AW17" s="77" t="s">
        <v>288</v>
      </c>
      <c r="AX17" s="248" t="s">
        <v>295</v>
      </c>
      <c r="AY17" s="248" t="s">
        <v>296</v>
      </c>
      <c r="AZ17" s="248" t="s">
        <v>297</v>
      </c>
      <c r="BA17" s="248" t="s">
        <v>298</v>
      </c>
      <c r="BB17" s="248" t="s">
        <v>294</v>
      </c>
      <c r="BC17" s="248" t="s">
        <v>295</v>
      </c>
      <c r="BD17" s="248" t="s">
        <v>296</v>
      </c>
      <c r="BE17" s="248" t="s">
        <v>297</v>
      </c>
      <c r="BF17" s="248" t="s">
        <v>298</v>
      </c>
      <c r="BI17" s="88" t="s">
        <v>161</v>
      </c>
      <c r="BJ17" s="248" t="s">
        <v>294</v>
      </c>
      <c r="BK17" s="248" t="s">
        <v>295</v>
      </c>
      <c r="BL17" s="248" t="s">
        <v>296</v>
      </c>
      <c r="BM17" s="248" t="s">
        <v>297</v>
      </c>
      <c r="BN17" s="248" t="s">
        <v>298</v>
      </c>
      <c r="BO17" s="248" t="s">
        <v>294</v>
      </c>
      <c r="BP17" s="248" t="s">
        <v>295</v>
      </c>
      <c r="BQ17" s="248" t="s">
        <v>296</v>
      </c>
      <c r="BR17" s="248" t="s">
        <v>297</v>
      </c>
      <c r="BS17" s="248" t="s">
        <v>298</v>
      </c>
      <c r="BT17" s="248" t="s">
        <v>294</v>
      </c>
      <c r="BU17" s="248" t="s">
        <v>295</v>
      </c>
      <c r="BV17" s="248" t="s">
        <v>296</v>
      </c>
      <c r="BW17" s="248" t="s">
        <v>297</v>
      </c>
      <c r="BX17" s="248" t="s">
        <v>298</v>
      </c>
      <c r="BY17" s="248" t="s">
        <v>294</v>
      </c>
      <c r="BZ17" s="248" t="s">
        <v>295</v>
      </c>
      <c r="CA17" s="248" t="s">
        <v>296</v>
      </c>
      <c r="CB17" s="248" t="s">
        <v>297</v>
      </c>
      <c r="CC17" s="248" t="s">
        <v>298</v>
      </c>
      <c r="CD17" s="248" t="s">
        <v>294</v>
      </c>
      <c r="CE17" s="248" t="s">
        <v>295</v>
      </c>
      <c r="CF17" s="248" t="s">
        <v>296</v>
      </c>
      <c r="CG17" s="248" t="s">
        <v>297</v>
      </c>
      <c r="CH17" s="248" t="s">
        <v>298</v>
      </c>
    </row>
    <row r="18" spans="1:86" ht="49.9" customHeight="1">
      <c r="A18" s="17" t="s">
        <v>3</v>
      </c>
      <c r="B18" s="317" t="s">
        <v>101</v>
      </c>
      <c r="C18" s="318"/>
      <c r="D18" s="18" t="s">
        <v>30</v>
      </c>
      <c r="E18" s="36" t="s">
        <v>92</v>
      </c>
      <c r="F18" s="317" t="s">
        <v>194</v>
      </c>
      <c r="G18" s="318"/>
      <c r="H18" s="317" t="s">
        <v>195</v>
      </c>
      <c r="I18" s="319"/>
      <c r="J18" s="318"/>
      <c r="K18" s="154" t="s">
        <v>221</v>
      </c>
      <c r="L18" s="333" t="s">
        <v>324</v>
      </c>
      <c r="M18" s="334"/>
      <c r="N18" s="334"/>
      <c r="O18" s="335"/>
      <c r="P18" s="317" t="s">
        <v>104</v>
      </c>
      <c r="Q18" s="319"/>
      <c r="R18" s="318"/>
      <c r="S18" s="327" t="s">
        <v>349</v>
      </c>
      <c r="T18" s="328"/>
      <c r="U18" s="18" t="s">
        <v>59</v>
      </c>
      <c r="V18" s="18" t="s">
        <v>58</v>
      </c>
      <c r="W18" s="18"/>
      <c r="X18" s="18" t="s">
        <v>93</v>
      </c>
      <c r="Y18" s="36" t="s">
        <v>329</v>
      </c>
      <c r="Z18" s="18" t="s">
        <v>59</v>
      </c>
      <c r="AA18" s="18" t="s">
        <v>58</v>
      </c>
      <c r="AB18" s="48"/>
      <c r="AC18" s="18" t="s">
        <v>93</v>
      </c>
      <c r="AD18" s="36" t="s">
        <v>227</v>
      </c>
      <c r="AE18" s="36" t="s">
        <v>208</v>
      </c>
      <c r="AG18" s="81"/>
      <c r="AH18" s="77" t="str">
        <f>AH16&amp;AH17</f>
        <v>Catastrophic
(A)Certain
(1)</v>
      </c>
      <c r="AI18" s="77" t="str">
        <f t="shared" ref="AI18:BF18" si="0">AI16&amp;AI17</f>
        <v>Catastrophic
(A)Likely
(2)</v>
      </c>
      <c r="AJ18" s="77" t="str">
        <f t="shared" si="0"/>
        <v>Catastrophic
(A)Possible
(3)</v>
      </c>
      <c r="AK18" s="77" t="str">
        <f t="shared" si="0"/>
        <v>Catastrophic
(A)Unlikely
(4)</v>
      </c>
      <c r="AL18" s="77" t="str">
        <f t="shared" si="0"/>
        <v>Catastrophic
(A)Extremely unlikely
(5)</v>
      </c>
      <c r="AM18" s="77" t="str">
        <f t="shared" si="0"/>
        <v>Hazardous
(B)Certain
(1)</v>
      </c>
      <c r="AN18" s="77" t="str">
        <f t="shared" si="0"/>
        <v>Hazardous
(B)Likely
(2)</v>
      </c>
      <c r="AO18" s="77" t="str">
        <f t="shared" si="0"/>
        <v>Hazardous
(B)Possible
(3)</v>
      </c>
      <c r="AP18" s="77" t="str">
        <f t="shared" si="0"/>
        <v>Hazardous
(B)Unlikely
(4)</v>
      </c>
      <c r="AQ18" s="77" t="str">
        <f t="shared" si="0"/>
        <v>Hazardous
(B)Extremely unlikely
(5)</v>
      </c>
      <c r="AR18" s="77" t="str">
        <f t="shared" si="0"/>
        <v>Major
(C)Certain
(1)</v>
      </c>
      <c r="AS18" s="77" t="str">
        <f t="shared" si="0"/>
        <v>Major
(C)Likely
(2)</v>
      </c>
      <c r="AT18" s="77" t="str">
        <f t="shared" si="0"/>
        <v>Major
(C)Possible
(3)</v>
      </c>
      <c r="AU18" s="77" t="str">
        <f t="shared" si="0"/>
        <v>Major
(C)Unlikely
(4)</v>
      </c>
      <c r="AV18" s="77" t="str">
        <f t="shared" si="0"/>
        <v>Major
(C)Extremely unlikely
(5)</v>
      </c>
      <c r="AW18" s="77" t="str">
        <f t="shared" si="0"/>
        <v>Minor
(D)Certain(1)</v>
      </c>
      <c r="AX18" s="77" t="str">
        <f t="shared" si="0"/>
        <v>Minor
(D)Likely
(2)</v>
      </c>
      <c r="AY18" s="77" t="str">
        <f t="shared" si="0"/>
        <v>Minor
(D)Possible
(3)</v>
      </c>
      <c r="AZ18" s="77" t="str">
        <f t="shared" si="0"/>
        <v>Minor
(D)Unlikely
(4)</v>
      </c>
      <c r="BA18" s="77" t="str">
        <f t="shared" si="0"/>
        <v>Minor
(D)Extremely unlikely
(5)</v>
      </c>
      <c r="BB18" s="77" t="str">
        <f t="shared" si="0"/>
        <v>Negligible
(E)Certain
(1)</v>
      </c>
      <c r="BC18" s="77" t="str">
        <f t="shared" si="0"/>
        <v>Negligible
(E)Likely
(2)</v>
      </c>
      <c r="BD18" s="77" t="str">
        <f t="shared" si="0"/>
        <v>Negligible
(E)Possible
(3)</v>
      </c>
      <c r="BE18" s="77" t="str">
        <f t="shared" si="0"/>
        <v>Negligible
(E)Unlikely
(4)</v>
      </c>
      <c r="BF18" s="77" t="str">
        <f t="shared" si="0"/>
        <v>Negligible
(E)Extremely unlikely
(5)</v>
      </c>
      <c r="BG18" s="78"/>
      <c r="BJ18" s="77" t="str">
        <f>BJ16&amp;BJ17</f>
        <v>Catastrophic
(A)Certain
(1)</v>
      </c>
      <c r="BK18" s="77" t="str">
        <f t="shared" ref="BK18:CH18" si="1">BK16&amp;BK17</f>
        <v>Catastrophic
(A)Likely
(2)</v>
      </c>
      <c r="BL18" s="77" t="str">
        <f t="shared" si="1"/>
        <v>Catastrophic
(A)Possible
(3)</v>
      </c>
      <c r="BM18" s="77" t="str">
        <f t="shared" si="1"/>
        <v>Catastrophic
(A)Unlikely
(4)</v>
      </c>
      <c r="BN18" s="77" t="str">
        <f t="shared" si="1"/>
        <v>Catastrophic
(A)Extremely unlikely
(5)</v>
      </c>
      <c r="BO18" s="77" t="str">
        <f t="shared" si="1"/>
        <v>Hazardous
(B)Certain
(1)</v>
      </c>
      <c r="BP18" s="77" t="str">
        <f t="shared" si="1"/>
        <v>Hazardous
(B)Likely
(2)</v>
      </c>
      <c r="BQ18" s="77" t="str">
        <f t="shared" si="1"/>
        <v>Hazardous
(B)Possible
(3)</v>
      </c>
      <c r="BR18" s="77" t="str">
        <f t="shared" si="1"/>
        <v>Hazardous
(B)Unlikely
(4)</v>
      </c>
      <c r="BS18" s="77" t="str">
        <f t="shared" si="1"/>
        <v>Hazardous
(B)Extremely unlikely
(5)</v>
      </c>
      <c r="BT18" s="77" t="str">
        <f t="shared" si="1"/>
        <v>Major
(C)Certain
(1)</v>
      </c>
      <c r="BU18" s="77" t="str">
        <f t="shared" si="1"/>
        <v>Major
(C)Likely
(2)</v>
      </c>
      <c r="BV18" s="77" t="str">
        <f t="shared" si="1"/>
        <v>Major
(C)Possible
(3)</v>
      </c>
      <c r="BW18" s="77" t="str">
        <f t="shared" si="1"/>
        <v>Major
(C)Unlikely
(4)</v>
      </c>
      <c r="BX18" s="77" t="str">
        <f t="shared" si="1"/>
        <v>Major
(C)Extremely unlikely
(5)</v>
      </c>
      <c r="BY18" s="77" t="str">
        <f t="shared" si="1"/>
        <v>Minor
(D)Certain
(1)</v>
      </c>
      <c r="BZ18" s="77" t="str">
        <f t="shared" si="1"/>
        <v>Minor
(D)Likely
(2)</v>
      </c>
      <c r="CA18" s="77" t="str">
        <f t="shared" si="1"/>
        <v>Minor
(D)Possible
(3)</v>
      </c>
      <c r="CB18" s="77" t="str">
        <f t="shared" si="1"/>
        <v>Minor
(D)Unlikely
(4)</v>
      </c>
      <c r="CC18" s="77" t="str">
        <f t="shared" si="1"/>
        <v>Minor
(D)Extremely unlikely
(5)</v>
      </c>
      <c r="CD18" s="77" t="str">
        <f t="shared" si="1"/>
        <v>Negligible
(E)Certain
(1)</v>
      </c>
      <c r="CE18" s="77" t="str">
        <f t="shared" si="1"/>
        <v>Negligible
(E)Likely
(2)</v>
      </c>
      <c r="CF18" s="77" t="str">
        <f t="shared" si="1"/>
        <v>Negligible
(E)Possible
(3)</v>
      </c>
      <c r="CG18" s="77" t="str">
        <f t="shared" si="1"/>
        <v>Negligible
(E)Unlikely
(4)</v>
      </c>
      <c r="CH18" s="77" t="str">
        <f t="shared" si="1"/>
        <v>Negligible
(E)Extremely unlikely
(5)</v>
      </c>
    </row>
    <row r="19" spans="1:86" s="74" customFormat="1" ht="22.5">
      <c r="A19" s="180">
        <f>ROW()-18</f>
        <v>1</v>
      </c>
      <c r="B19" s="321"/>
      <c r="C19" s="321"/>
      <c r="D19" s="104"/>
      <c r="E19" s="105" t="str">
        <f>IFERROR(VLOOKUP(D19,REFERENCES!$C$2:$D$60,2,0),"Do not write in this cell !")</f>
        <v>Do not write in this cell !</v>
      </c>
      <c r="F19" s="294"/>
      <c r="G19" s="296"/>
      <c r="H19" s="294"/>
      <c r="I19" s="295"/>
      <c r="J19" s="296"/>
      <c r="K19" s="153"/>
      <c r="L19" s="294"/>
      <c r="M19" s="295"/>
      <c r="N19" s="295"/>
      <c r="O19" s="296"/>
      <c r="P19" s="300"/>
      <c r="Q19" s="301"/>
      <c r="R19" s="302"/>
      <c r="S19" s="303"/>
      <c r="T19" s="304"/>
      <c r="U19" s="247"/>
      <c r="V19" s="247"/>
      <c r="W19" s="247" t="str">
        <f t="shared" ref="W19" si="2">CONCATENATE(U19,V19)</f>
        <v/>
      </c>
      <c r="X19" s="106" t="str">
        <f>IF(U19="","Do not write in this cell !",VLOOKUP(W19,Liste!$A$18:$B$42,2,FALSE))</f>
        <v>Do not write in this cell !</v>
      </c>
      <c r="Y19" s="250"/>
      <c r="Z19" s="247"/>
      <c r="AA19" s="247"/>
      <c r="AB19" s="247" t="str">
        <f t="shared" ref="AB19" si="3">CONCATENATE(Z19,AA19)</f>
        <v/>
      </c>
      <c r="AC19" s="106" t="str">
        <f>IF(Z19="","Do not write in this cell !",VLOOKUP(AB19,Liste!$A$18:$B$42,2,FALSE))</f>
        <v>Do not write in this cell !</v>
      </c>
      <c r="AD19" s="255"/>
      <c r="AE19" s="255"/>
      <c r="AG19" s="82"/>
      <c r="AH19" s="74" t="str">
        <f t="shared" ref="AH19:AQ29" si="4">IF($V19&amp;$U19=AH$18,$A19,"")</f>
        <v/>
      </c>
      <c r="AI19" s="74" t="str">
        <f t="shared" si="4"/>
        <v/>
      </c>
      <c r="AJ19" s="74" t="str">
        <f t="shared" si="4"/>
        <v/>
      </c>
      <c r="AK19" s="74" t="str">
        <f t="shared" si="4"/>
        <v/>
      </c>
      <c r="AL19" s="74" t="str">
        <f t="shared" si="4"/>
        <v/>
      </c>
      <c r="AM19" s="74" t="str">
        <f t="shared" si="4"/>
        <v/>
      </c>
      <c r="AN19" s="74" t="str">
        <f t="shared" si="4"/>
        <v/>
      </c>
      <c r="AO19" s="74" t="str">
        <f t="shared" si="4"/>
        <v/>
      </c>
      <c r="AP19" s="74" t="str">
        <f t="shared" si="4"/>
        <v/>
      </c>
      <c r="AQ19" s="74" t="str">
        <f t="shared" si="4"/>
        <v/>
      </c>
      <c r="AR19" s="74" t="str">
        <f t="shared" ref="AR19:BF29" si="5">IF($V19&amp;$U19=AR$18,$A19,"")</f>
        <v/>
      </c>
      <c r="AS19" s="74" t="str">
        <f t="shared" si="5"/>
        <v/>
      </c>
      <c r="AT19" s="74" t="str">
        <f t="shared" si="5"/>
        <v/>
      </c>
      <c r="AU19" s="74" t="str">
        <f t="shared" si="5"/>
        <v/>
      </c>
      <c r="AV19" s="74" t="str">
        <f t="shared" si="5"/>
        <v/>
      </c>
      <c r="AW19" s="74" t="str">
        <f t="shared" si="5"/>
        <v/>
      </c>
      <c r="AX19" s="74" t="str">
        <f t="shared" si="5"/>
        <v/>
      </c>
      <c r="AY19" s="74" t="str">
        <f t="shared" si="5"/>
        <v/>
      </c>
      <c r="AZ19" s="74" t="str">
        <f t="shared" si="5"/>
        <v/>
      </c>
      <c r="BA19" s="74" t="str">
        <f t="shared" si="5"/>
        <v/>
      </c>
      <c r="BB19" s="74" t="str">
        <f t="shared" si="5"/>
        <v/>
      </c>
      <c r="BC19" s="74" t="str">
        <f t="shared" si="5"/>
        <v/>
      </c>
      <c r="BD19" s="74" t="str">
        <f t="shared" si="5"/>
        <v/>
      </c>
      <c r="BE19" s="74" t="str">
        <f t="shared" si="5"/>
        <v/>
      </c>
      <c r="BF19" s="74" t="str">
        <f t="shared" si="5"/>
        <v/>
      </c>
      <c r="BJ19" s="74" t="str">
        <f t="shared" ref="BJ19:BS29" si="6">IF($AA19&amp;$Z19=BJ$18,$A19,"")</f>
        <v/>
      </c>
      <c r="BK19" s="74" t="str">
        <f t="shared" si="6"/>
        <v/>
      </c>
      <c r="BL19" s="74" t="str">
        <f t="shared" si="6"/>
        <v/>
      </c>
      <c r="BM19" s="74" t="str">
        <f t="shared" si="6"/>
        <v/>
      </c>
      <c r="BN19" s="74" t="str">
        <f t="shared" si="6"/>
        <v/>
      </c>
      <c r="BO19" s="74" t="str">
        <f t="shared" si="6"/>
        <v/>
      </c>
      <c r="BP19" s="74" t="str">
        <f t="shared" si="6"/>
        <v/>
      </c>
      <c r="BQ19" s="74" t="str">
        <f t="shared" si="6"/>
        <v/>
      </c>
      <c r="BR19" s="74" t="str">
        <f t="shared" si="6"/>
        <v/>
      </c>
      <c r="BS19" s="74" t="str">
        <f t="shared" si="6"/>
        <v/>
      </c>
      <c r="BT19" s="74" t="str">
        <f t="shared" ref="BT19:CH29" si="7">IF($AA19&amp;$Z19=BT$18,$A19,"")</f>
        <v/>
      </c>
      <c r="BU19" s="74" t="str">
        <f t="shared" si="7"/>
        <v/>
      </c>
      <c r="BV19" s="74" t="str">
        <f t="shared" si="7"/>
        <v/>
      </c>
      <c r="BW19" s="74" t="str">
        <f t="shared" si="7"/>
        <v/>
      </c>
      <c r="BX19" s="74" t="str">
        <f t="shared" si="7"/>
        <v/>
      </c>
      <c r="BY19" s="74" t="str">
        <f t="shared" si="7"/>
        <v/>
      </c>
      <c r="BZ19" s="74" t="str">
        <f t="shared" si="7"/>
        <v/>
      </c>
      <c r="CA19" s="74" t="str">
        <f t="shared" si="7"/>
        <v/>
      </c>
      <c r="CB19" s="74" t="str">
        <f t="shared" si="7"/>
        <v/>
      </c>
      <c r="CC19" s="74" t="str">
        <f t="shared" si="7"/>
        <v/>
      </c>
      <c r="CD19" s="74" t="str">
        <f t="shared" si="7"/>
        <v/>
      </c>
      <c r="CE19" s="74" t="str">
        <f t="shared" si="7"/>
        <v/>
      </c>
      <c r="CF19" s="74" t="str">
        <f t="shared" si="7"/>
        <v/>
      </c>
      <c r="CG19" s="74" t="str">
        <f t="shared" si="7"/>
        <v/>
      </c>
      <c r="CH19" s="74" t="str">
        <f t="shared" si="7"/>
        <v/>
      </c>
    </row>
    <row r="20" spans="1:86" s="74" customFormat="1" ht="22.5">
      <c r="A20" s="180">
        <f t="shared" ref="A20:A68" si="8">ROW()-18</f>
        <v>2</v>
      </c>
      <c r="B20" s="321"/>
      <c r="C20" s="321"/>
      <c r="D20" s="104"/>
      <c r="E20" s="105" t="str">
        <f>IFERROR(VLOOKUP(D20,REFERENCES!$C$2:$D$60,2,0),"Do not write in this cell !")</f>
        <v>Do not write in this cell !</v>
      </c>
      <c r="F20" s="294"/>
      <c r="G20" s="296"/>
      <c r="H20" s="294"/>
      <c r="I20" s="295"/>
      <c r="J20" s="296"/>
      <c r="K20" s="153"/>
      <c r="L20" s="294"/>
      <c r="M20" s="295"/>
      <c r="N20" s="295"/>
      <c r="O20" s="296"/>
      <c r="P20" s="300"/>
      <c r="Q20" s="301"/>
      <c r="R20" s="302"/>
      <c r="S20" s="303"/>
      <c r="T20" s="304"/>
      <c r="U20" s="247"/>
      <c r="V20" s="247"/>
      <c r="W20" s="247" t="str">
        <f t="shared" ref="W20" si="9">CONCATENATE(U20,V20)</f>
        <v/>
      </c>
      <c r="X20" s="106" t="str">
        <f>IF(U20="","Do not write in this cell !",VLOOKUP(W20,Liste!$A$18:$B$42,2,FALSE))</f>
        <v>Do not write in this cell !</v>
      </c>
      <c r="Y20" s="250"/>
      <c r="Z20" s="247"/>
      <c r="AA20" s="247"/>
      <c r="AB20" s="247" t="str">
        <f t="shared" ref="AB20" si="10">CONCATENATE(Z20,AA20)</f>
        <v/>
      </c>
      <c r="AC20" s="106" t="str">
        <f>IF(Z20="","Do not write in this cell !",VLOOKUP(AB20,Liste!$A$18:$B$42,2,FALSE))</f>
        <v>Do not write in this cell !</v>
      </c>
      <c r="AD20" s="255"/>
      <c r="AE20" s="255"/>
      <c r="AG20" s="82"/>
      <c r="AH20" s="74" t="str">
        <f t="shared" si="4"/>
        <v/>
      </c>
      <c r="AI20" s="74" t="str">
        <f t="shared" si="4"/>
        <v/>
      </c>
      <c r="AJ20" s="74" t="str">
        <f t="shared" si="4"/>
        <v/>
      </c>
      <c r="AK20" s="74" t="str">
        <f t="shared" si="4"/>
        <v/>
      </c>
      <c r="AL20" s="74" t="str">
        <f t="shared" si="4"/>
        <v/>
      </c>
      <c r="AM20" s="74" t="str">
        <f t="shared" si="4"/>
        <v/>
      </c>
      <c r="AN20" s="74" t="str">
        <f t="shared" si="4"/>
        <v/>
      </c>
      <c r="AO20" s="74" t="str">
        <f t="shared" si="4"/>
        <v/>
      </c>
      <c r="AP20" s="74" t="str">
        <f t="shared" si="4"/>
        <v/>
      </c>
      <c r="AQ20" s="74" t="str">
        <f t="shared" si="4"/>
        <v/>
      </c>
      <c r="AR20" s="74" t="str">
        <f t="shared" si="5"/>
        <v/>
      </c>
      <c r="AS20" s="74" t="str">
        <f t="shared" si="5"/>
        <v/>
      </c>
      <c r="AT20" s="74" t="str">
        <f t="shared" si="5"/>
        <v/>
      </c>
      <c r="AU20" s="74" t="str">
        <f t="shared" si="5"/>
        <v/>
      </c>
      <c r="AV20" s="74" t="str">
        <f t="shared" si="5"/>
        <v/>
      </c>
      <c r="AW20" s="74" t="str">
        <f t="shared" si="5"/>
        <v/>
      </c>
      <c r="AX20" s="74" t="str">
        <f t="shared" si="5"/>
        <v/>
      </c>
      <c r="AY20" s="74" t="str">
        <f t="shared" si="5"/>
        <v/>
      </c>
      <c r="AZ20" s="74" t="str">
        <f t="shared" si="5"/>
        <v/>
      </c>
      <c r="BA20" s="74" t="str">
        <f t="shared" si="5"/>
        <v/>
      </c>
      <c r="BB20" s="74" t="str">
        <f t="shared" si="5"/>
        <v/>
      </c>
      <c r="BC20" s="74" t="str">
        <f t="shared" si="5"/>
        <v/>
      </c>
      <c r="BD20" s="74" t="str">
        <f t="shared" si="5"/>
        <v/>
      </c>
      <c r="BE20" s="74" t="str">
        <f t="shared" si="5"/>
        <v/>
      </c>
      <c r="BF20" s="74" t="str">
        <f t="shared" si="5"/>
        <v/>
      </c>
      <c r="BJ20" s="74" t="str">
        <f t="shared" si="6"/>
        <v/>
      </c>
      <c r="BK20" s="74" t="str">
        <f t="shared" si="6"/>
        <v/>
      </c>
      <c r="BL20" s="74" t="str">
        <f t="shared" si="6"/>
        <v/>
      </c>
      <c r="BM20" s="74" t="str">
        <f t="shared" si="6"/>
        <v/>
      </c>
      <c r="BN20" s="74" t="str">
        <f t="shared" si="6"/>
        <v/>
      </c>
      <c r="BO20" s="74" t="str">
        <f t="shared" si="6"/>
        <v/>
      </c>
      <c r="BP20" s="74" t="str">
        <f t="shared" si="6"/>
        <v/>
      </c>
      <c r="BQ20" s="74" t="str">
        <f t="shared" si="6"/>
        <v/>
      </c>
      <c r="BR20" s="74" t="str">
        <f t="shared" si="6"/>
        <v/>
      </c>
      <c r="BS20" s="74" t="str">
        <f t="shared" si="6"/>
        <v/>
      </c>
      <c r="BT20" s="74" t="str">
        <f t="shared" si="7"/>
        <v/>
      </c>
      <c r="BU20" s="74" t="str">
        <f t="shared" si="7"/>
        <v/>
      </c>
      <c r="BV20" s="74" t="str">
        <f t="shared" si="7"/>
        <v/>
      </c>
      <c r="BW20" s="74" t="str">
        <f t="shared" si="7"/>
        <v/>
      </c>
      <c r="BX20" s="74" t="str">
        <f t="shared" si="7"/>
        <v/>
      </c>
      <c r="BY20" s="74" t="str">
        <f t="shared" si="7"/>
        <v/>
      </c>
      <c r="BZ20" s="74" t="str">
        <f t="shared" si="7"/>
        <v/>
      </c>
      <c r="CA20" s="74" t="str">
        <f t="shared" si="7"/>
        <v/>
      </c>
      <c r="CB20" s="74" t="str">
        <f t="shared" si="7"/>
        <v/>
      </c>
      <c r="CC20" s="74" t="str">
        <f t="shared" si="7"/>
        <v/>
      </c>
      <c r="CD20" s="74" t="str">
        <f t="shared" si="7"/>
        <v/>
      </c>
      <c r="CE20" s="74" t="str">
        <f t="shared" si="7"/>
        <v/>
      </c>
      <c r="CF20" s="74" t="str">
        <f t="shared" si="7"/>
        <v/>
      </c>
      <c r="CG20" s="74" t="str">
        <f t="shared" si="7"/>
        <v/>
      </c>
      <c r="CH20" s="74" t="str">
        <f t="shared" si="7"/>
        <v/>
      </c>
    </row>
    <row r="21" spans="1:86" s="74" customFormat="1" ht="22.5">
      <c r="A21" s="180">
        <f t="shared" si="8"/>
        <v>3</v>
      </c>
      <c r="B21" s="321"/>
      <c r="C21" s="321"/>
      <c r="D21" s="104"/>
      <c r="E21" s="105" t="str">
        <f>IFERROR(VLOOKUP(D21,REFERENCES!$C$2:$D$60,2,0),"Do not write in this cell !")</f>
        <v>Do not write in this cell !</v>
      </c>
      <c r="F21" s="294"/>
      <c r="G21" s="296"/>
      <c r="H21" s="294"/>
      <c r="I21" s="295"/>
      <c r="J21" s="296"/>
      <c r="K21" s="153"/>
      <c r="L21" s="294"/>
      <c r="M21" s="295"/>
      <c r="N21" s="295"/>
      <c r="O21" s="296"/>
      <c r="P21" s="300"/>
      <c r="Q21" s="301"/>
      <c r="R21" s="302"/>
      <c r="S21" s="303"/>
      <c r="T21" s="304"/>
      <c r="U21" s="247"/>
      <c r="V21" s="247"/>
      <c r="W21" s="247" t="str">
        <f t="shared" ref="W21" si="11">CONCATENATE(U21,V21)</f>
        <v/>
      </c>
      <c r="X21" s="106" t="str">
        <f>IF(U21="","Do not write in this cell !",VLOOKUP(W21,Liste!$A$18:$B$42,2,FALSE))</f>
        <v>Do not write in this cell !</v>
      </c>
      <c r="Y21" s="250"/>
      <c r="Z21" s="247"/>
      <c r="AA21" s="247"/>
      <c r="AB21" s="247" t="str">
        <f t="shared" ref="AB21" si="12">CONCATENATE(Z21,AA21)</f>
        <v/>
      </c>
      <c r="AC21" s="106" t="str">
        <f>IF(Z21="","Do not write in this cell !",VLOOKUP(AB21,Liste!$A$18:$B$42,2,FALSE))</f>
        <v>Do not write in this cell !</v>
      </c>
      <c r="AD21" s="255"/>
      <c r="AE21" s="255"/>
      <c r="AG21" s="82"/>
      <c r="AH21" s="74" t="str">
        <f t="shared" si="4"/>
        <v/>
      </c>
      <c r="AI21" s="74" t="str">
        <f t="shared" si="4"/>
        <v/>
      </c>
      <c r="AJ21" s="74" t="str">
        <f t="shared" si="4"/>
        <v/>
      </c>
      <c r="AK21" s="74" t="str">
        <f t="shared" si="4"/>
        <v/>
      </c>
      <c r="AL21" s="74" t="str">
        <f t="shared" si="4"/>
        <v/>
      </c>
      <c r="AM21" s="74" t="str">
        <f t="shared" si="4"/>
        <v/>
      </c>
      <c r="AN21" s="74" t="str">
        <f t="shared" si="4"/>
        <v/>
      </c>
      <c r="AO21" s="74" t="str">
        <f t="shared" si="4"/>
        <v/>
      </c>
      <c r="AP21" s="74" t="str">
        <f t="shared" si="4"/>
        <v/>
      </c>
      <c r="AQ21" s="74" t="str">
        <f t="shared" si="4"/>
        <v/>
      </c>
      <c r="AR21" s="74" t="str">
        <f t="shared" si="5"/>
        <v/>
      </c>
      <c r="AS21" s="74" t="str">
        <f t="shared" si="5"/>
        <v/>
      </c>
      <c r="AT21" s="74" t="str">
        <f t="shared" si="5"/>
        <v/>
      </c>
      <c r="AU21" s="74" t="str">
        <f t="shared" si="5"/>
        <v/>
      </c>
      <c r="AV21" s="74" t="str">
        <f t="shared" si="5"/>
        <v/>
      </c>
      <c r="AW21" s="74" t="str">
        <f t="shared" si="5"/>
        <v/>
      </c>
      <c r="AX21" s="74" t="str">
        <f t="shared" si="5"/>
        <v/>
      </c>
      <c r="AY21" s="74" t="str">
        <f t="shared" si="5"/>
        <v/>
      </c>
      <c r="AZ21" s="74" t="str">
        <f t="shared" si="5"/>
        <v/>
      </c>
      <c r="BA21" s="74" t="str">
        <f t="shared" si="5"/>
        <v/>
      </c>
      <c r="BB21" s="74" t="str">
        <f t="shared" si="5"/>
        <v/>
      </c>
      <c r="BC21" s="74" t="str">
        <f t="shared" si="5"/>
        <v/>
      </c>
      <c r="BD21" s="74" t="str">
        <f t="shared" si="5"/>
        <v/>
      </c>
      <c r="BE21" s="74" t="str">
        <f t="shared" si="5"/>
        <v/>
      </c>
      <c r="BF21" s="74" t="str">
        <f t="shared" si="5"/>
        <v/>
      </c>
      <c r="BJ21" s="74" t="str">
        <f t="shared" si="6"/>
        <v/>
      </c>
      <c r="BK21" s="74" t="str">
        <f t="shared" si="6"/>
        <v/>
      </c>
      <c r="BL21" s="74" t="str">
        <f t="shared" si="6"/>
        <v/>
      </c>
      <c r="BM21" s="74" t="str">
        <f t="shared" si="6"/>
        <v/>
      </c>
      <c r="BN21" s="74" t="str">
        <f t="shared" si="6"/>
        <v/>
      </c>
      <c r="BO21" s="74" t="str">
        <f t="shared" si="6"/>
        <v/>
      </c>
      <c r="BP21" s="74" t="str">
        <f t="shared" si="6"/>
        <v/>
      </c>
      <c r="BQ21" s="74" t="str">
        <f t="shared" si="6"/>
        <v/>
      </c>
      <c r="BR21" s="74" t="str">
        <f t="shared" si="6"/>
        <v/>
      </c>
      <c r="BS21" s="74" t="str">
        <f t="shared" si="6"/>
        <v/>
      </c>
      <c r="BT21" s="74" t="str">
        <f t="shared" si="7"/>
        <v/>
      </c>
      <c r="BU21" s="74" t="str">
        <f t="shared" si="7"/>
        <v/>
      </c>
      <c r="BV21" s="74" t="str">
        <f t="shared" si="7"/>
        <v/>
      </c>
      <c r="BW21" s="74" t="str">
        <f t="shared" si="7"/>
        <v/>
      </c>
      <c r="BX21" s="74" t="str">
        <f t="shared" si="7"/>
        <v/>
      </c>
      <c r="BY21" s="74" t="str">
        <f t="shared" si="7"/>
        <v/>
      </c>
      <c r="BZ21" s="74" t="str">
        <f t="shared" si="7"/>
        <v/>
      </c>
      <c r="CA21" s="74" t="str">
        <f t="shared" si="7"/>
        <v/>
      </c>
      <c r="CB21" s="74" t="str">
        <f t="shared" si="7"/>
        <v/>
      </c>
      <c r="CC21" s="74" t="str">
        <f t="shared" si="7"/>
        <v/>
      </c>
      <c r="CD21" s="74" t="str">
        <f t="shared" si="7"/>
        <v/>
      </c>
      <c r="CE21" s="74" t="str">
        <f t="shared" si="7"/>
        <v/>
      </c>
      <c r="CF21" s="74" t="str">
        <f t="shared" si="7"/>
        <v/>
      </c>
      <c r="CG21" s="74" t="str">
        <f t="shared" si="7"/>
        <v/>
      </c>
      <c r="CH21" s="74" t="str">
        <f t="shared" si="7"/>
        <v/>
      </c>
    </row>
    <row r="22" spans="1:86" s="74" customFormat="1" ht="22.5">
      <c r="A22" s="180">
        <f t="shared" si="8"/>
        <v>4</v>
      </c>
      <c r="B22" s="321"/>
      <c r="C22" s="321"/>
      <c r="D22" s="104"/>
      <c r="E22" s="105" t="str">
        <f>IFERROR(VLOOKUP(D22,REFERENCES!$C$2:$D$60,2,0),"Do not write in this cell !")</f>
        <v>Do not write in this cell !</v>
      </c>
      <c r="F22" s="294"/>
      <c r="G22" s="296"/>
      <c r="H22" s="294"/>
      <c r="I22" s="295"/>
      <c r="J22" s="296"/>
      <c r="K22" s="153"/>
      <c r="L22" s="294"/>
      <c r="M22" s="295"/>
      <c r="N22" s="295"/>
      <c r="O22" s="296"/>
      <c r="P22" s="300"/>
      <c r="Q22" s="301"/>
      <c r="R22" s="302"/>
      <c r="S22" s="303"/>
      <c r="T22" s="304"/>
      <c r="U22" s="247"/>
      <c r="V22" s="247"/>
      <c r="W22" s="247" t="str">
        <f t="shared" ref="W22:W68" si="13">CONCATENATE(U22,V22)</f>
        <v/>
      </c>
      <c r="X22" s="106" t="str">
        <f>IF(U22="","Do not write in this cell !",VLOOKUP(W22,Liste!$A$18:$B$42,2,FALSE))</f>
        <v>Do not write in this cell !</v>
      </c>
      <c r="Y22" s="250"/>
      <c r="Z22" s="247"/>
      <c r="AA22" s="247"/>
      <c r="AB22" s="247" t="str">
        <f t="shared" ref="AB22:AB68" si="14">CONCATENATE(Z22,AA22)</f>
        <v/>
      </c>
      <c r="AC22" s="106" t="str">
        <f>IF(Z22="","Do not write in this cell !",VLOOKUP(AB22,Liste!$A$18:$B$42,2,FALSE))</f>
        <v>Do not write in this cell !</v>
      </c>
      <c r="AD22" s="255"/>
      <c r="AE22" s="255"/>
      <c r="AG22" s="82"/>
      <c r="AH22" s="74" t="str">
        <f t="shared" si="4"/>
        <v/>
      </c>
      <c r="AI22" s="74" t="str">
        <f t="shared" si="4"/>
        <v/>
      </c>
      <c r="AJ22" s="74" t="str">
        <f t="shared" si="4"/>
        <v/>
      </c>
      <c r="AK22" s="74" t="str">
        <f t="shared" si="4"/>
        <v/>
      </c>
      <c r="AL22" s="74" t="str">
        <f t="shared" si="4"/>
        <v/>
      </c>
      <c r="AM22" s="74" t="str">
        <f t="shared" si="4"/>
        <v/>
      </c>
      <c r="AN22" s="74" t="str">
        <f t="shared" si="4"/>
        <v/>
      </c>
      <c r="AO22" s="74" t="str">
        <f t="shared" si="4"/>
        <v/>
      </c>
      <c r="AP22" s="74" t="str">
        <f t="shared" si="4"/>
        <v/>
      </c>
      <c r="AQ22" s="74" t="str">
        <f t="shared" si="4"/>
        <v/>
      </c>
      <c r="AR22" s="74" t="str">
        <f t="shared" si="5"/>
        <v/>
      </c>
      <c r="AS22" s="74" t="str">
        <f t="shared" si="5"/>
        <v/>
      </c>
      <c r="AT22" s="74" t="str">
        <f t="shared" si="5"/>
        <v/>
      </c>
      <c r="AU22" s="74" t="str">
        <f t="shared" si="5"/>
        <v/>
      </c>
      <c r="AV22" s="74" t="str">
        <f t="shared" si="5"/>
        <v/>
      </c>
      <c r="AW22" s="74" t="str">
        <f t="shared" si="5"/>
        <v/>
      </c>
      <c r="AX22" s="74" t="str">
        <f t="shared" si="5"/>
        <v/>
      </c>
      <c r="AY22" s="74" t="str">
        <f t="shared" si="5"/>
        <v/>
      </c>
      <c r="AZ22" s="74" t="str">
        <f t="shared" si="5"/>
        <v/>
      </c>
      <c r="BA22" s="74" t="str">
        <f t="shared" si="5"/>
        <v/>
      </c>
      <c r="BB22" s="74" t="str">
        <f t="shared" si="5"/>
        <v/>
      </c>
      <c r="BC22" s="74" t="str">
        <f t="shared" si="5"/>
        <v/>
      </c>
      <c r="BD22" s="74" t="str">
        <f t="shared" si="5"/>
        <v/>
      </c>
      <c r="BE22" s="74" t="str">
        <f t="shared" si="5"/>
        <v/>
      </c>
      <c r="BF22" s="74" t="str">
        <f t="shared" si="5"/>
        <v/>
      </c>
      <c r="BJ22" s="74" t="str">
        <f t="shared" si="6"/>
        <v/>
      </c>
      <c r="BK22" s="74" t="str">
        <f t="shared" si="6"/>
        <v/>
      </c>
      <c r="BL22" s="74" t="str">
        <f t="shared" si="6"/>
        <v/>
      </c>
      <c r="BM22" s="74" t="str">
        <f t="shared" si="6"/>
        <v/>
      </c>
      <c r="BN22" s="74" t="str">
        <f t="shared" si="6"/>
        <v/>
      </c>
      <c r="BO22" s="74" t="str">
        <f t="shared" si="6"/>
        <v/>
      </c>
      <c r="BP22" s="74" t="str">
        <f t="shared" si="6"/>
        <v/>
      </c>
      <c r="BQ22" s="74" t="str">
        <f t="shared" si="6"/>
        <v/>
      </c>
      <c r="BR22" s="74" t="str">
        <f t="shared" si="6"/>
        <v/>
      </c>
      <c r="BS22" s="74" t="str">
        <f t="shared" si="6"/>
        <v/>
      </c>
      <c r="BT22" s="74" t="str">
        <f t="shared" si="7"/>
        <v/>
      </c>
      <c r="BU22" s="74" t="str">
        <f t="shared" si="7"/>
        <v/>
      </c>
      <c r="BV22" s="74" t="str">
        <f t="shared" si="7"/>
        <v/>
      </c>
      <c r="BW22" s="74" t="str">
        <f t="shared" si="7"/>
        <v/>
      </c>
      <c r="BX22" s="74" t="str">
        <f t="shared" si="7"/>
        <v/>
      </c>
      <c r="BY22" s="74" t="str">
        <f t="shared" si="7"/>
        <v/>
      </c>
      <c r="BZ22" s="74" t="str">
        <f t="shared" si="7"/>
        <v/>
      </c>
      <c r="CA22" s="74" t="str">
        <f t="shared" si="7"/>
        <v/>
      </c>
      <c r="CB22" s="74" t="str">
        <f t="shared" si="7"/>
        <v/>
      </c>
      <c r="CC22" s="74" t="str">
        <f t="shared" si="7"/>
        <v/>
      </c>
      <c r="CD22" s="74" t="str">
        <f t="shared" si="7"/>
        <v/>
      </c>
      <c r="CE22" s="74" t="str">
        <f t="shared" si="7"/>
        <v/>
      </c>
      <c r="CF22" s="74" t="str">
        <f t="shared" si="7"/>
        <v/>
      </c>
      <c r="CG22" s="74" t="str">
        <f t="shared" si="7"/>
        <v/>
      </c>
      <c r="CH22" s="74" t="str">
        <f t="shared" si="7"/>
        <v/>
      </c>
    </row>
    <row r="23" spans="1:86" s="74" customFormat="1" ht="22.5">
      <c r="A23" s="180">
        <f t="shared" si="8"/>
        <v>5</v>
      </c>
      <c r="B23" s="321"/>
      <c r="C23" s="321"/>
      <c r="D23" s="104"/>
      <c r="E23" s="105" t="str">
        <f>IFERROR(VLOOKUP(D23,REFERENCES!$C$2:$D$60,2,0),"Do not write in this cell !")</f>
        <v>Do not write in this cell !</v>
      </c>
      <c r="F23" s="294"/>
      <c r="G23" s="296"/>
      <c r="H23" s="294"/>
      <c r="I23" s="295"/>
      <c r="J23" s="296"/>
      <c r="K23" s="153"/>
      <c r="L23" s="294"/>
      <c r="M23" s="295"/>
      <c r="N23" s="295"/>
      <c r="O23" s="296"/>
      <c r="P23" s="300"/>
      <c r="Q23" s="301"/>
      <c r="R23" s="302"/>
      <c r="S23" s="303"/>
      <c r="T23" s="304"/>
      <c r="U23" s="247"/>
      <c r="V23" s="247"/>
      <c r="W23" s="247" t="str">
        <f t="shared" si="13"/>
        <v/>
      </c>
      <c r="X23" s="106" t="str">
        <f>IF(U23="","Do not write in this cell !",VLOOKUP(W23,Liste!$A$18:$B$42,2,FALSE))</f>
        <v>Do not write in this cell !</v>
      </c>
      <c r="Y23" s="250"/>
      <c r="Z23" s="247"/>
      <c r="AA23" s="247"/>
      <c r="AB23" s="247" t="str">
        <f t="shared" si="14"/>
        <v/>
      </c>
      <c r="AC23" s="106" t="str">
        <f>IF(Z23="","Do not write in this cell !",VLOOKUP(AB23,Liste!$A$18:$B$42,2,FALSE))</f>
        <v>Do not write in this cell !</v>
      </c>
      <c r="AD23" s="255"/>
      <c r="AE23" s="255"/>
      <c r="AG23" s="82"/>
      <c r="AH23" s="74" t="str">
        <f t="shared" si="4"/>
        <v/>
      </c>
      <c r="AI23" s="74" t="str">
        <f t="shared" si="4"/>
        <v/>
      </c>
      <c r="AJ23" s="74" t="str">
        <f t="shared" si="4"/>
        <v/>
      </c>
      <c r="AK23" s="74" t="str">
        <f t="shared" si="4"/>
        <v/>
      </c>
      <c r="AL23" s="74" t="str">
        <f t="shared" si="4"/>
        <v/>
      </c>
      <c r="AM23" s="74" t="str">
        <f t="shared" si="4"/>
        <v/>
      </c>
      <c r="AN23" s="74" t="str">
        <f t="shared" si="4"/>
        <v/>
      </c>
      <c r="AO23" s="74" t="str">
        <f t="shared" si="4"/>
        <v/>
      </c>
      <c r="AP23" s="74" t="str">
        <f t="shared" si="4"/>
        <v/>
      </c>
      <c r="AQ23" s="74" t="str">
        <f t="shared" si="4"/>
        <v/>
      </c>
      <c r="AR23" s="74" t="str">
        <f t="shared" si="5"/>
        <v/>
      </c>
      <c r="AS23" s="74" t="str">
        <f t="shared" si="5"/>
        <v/>
      </c>
      <c r="AT23" s="74" t="str">
        <f t="shared" si="5"/>
        <v/>
      </c>
      <c r="AU23" s="74" t="str">
        <f t="shared" si="5"/>
        <v/>
      </c>
      <c r="AV23" s="74" t="str">
        <f t="shared" si="5"/>
        <v/>
      </c>
      <c r="AW23" s="74" t="str">
        <f t="shared" si="5"/>
        <v/>
      </c>
      <c r="AX23" s="74" t="str">
        <f t="shared" si="5"/>
        <v/>
      </c>
      <c r="AY23" s="74" t="str">
        <f t="shared" si="5"/>
        <v/>
      </c>
      <c r="AZ23" s="74" t="str">
        <f t="shared" si="5"/>
        <v/>
      </c>
      <c r="BA23" s="74" t="str">
        <f t="shared" si="5"/>
        <v/>
      </c>
      <c r="BB23" s="74" t="str">
        <f t="shared" si="5"/>
        <v/>
      </c>
      <c r="BC23" s="74" t="str">
        <f t="shared" si="5"/>
        <v/>
      </c>
      <c r="BD23" s="74" t="str">
        <f t="shared" si="5"/>
        <v/>
      </c>
      <c r="BE23" s="74" t="str">
        <f t="shared" si="5"/>
        <v/>
      </c>
      <c r="BF23" s="74" t="str">
        <f t="shared" si="5"/>
        <v/>
      </c>
      <c r="BJ23" s="74" t="str">
        <f t="shared" si="6"/>
        <v/>
      </c>
      <c r="BK23" s="74" t="str">
        <f t="shared" si="6"/>
        <v/>
      </c>
      <c r="BL23" s="74" t="str">
        <f t="shared" si="6"/>
        <v/>
      </c>
      <c r="BM23" s="74" t="str">
        <f t="shared" si="6"/>
        <v/>
      </c>
      <c r="BN23" s="74" t="str">
        <f t="shared" si="6"/>
        <v/>
      </c>
      <c r="BO23" s="74" t="str">
        <f t="shared" si="6"/>
        <v/>
      </c>
      <c r="BP23" s="74" t="str">
        <f t="shared" si="6"/>
        <v/>
      </c>
      <c r="BQ23" s="74" t="str">
        <f t="shared" si="6"/>
        <v/>
      </c>
      <c r="BR23" s="74" t="str">
        <f t="shared" si="6"/>
        <v/>
      </c>
      <c r="BS23" s="74" t="str">
        <f t="shared" si="6"/>
        <v/>
      </c>
      <c r="BT23" s="74" t="str">
        <f t="shared" si="7"/>
        <v/>
      </c>
      <c r="BU23" s="74" t="str">
        <f t="shared" si="7"/>
        <v/>
      </c>
      <c r="BV23" s="74" t="str">
        <f t="shared" si="7"/>
        <v/>
      </c>
      <c r="BW23" s="74" t="str">
        <f t="shared" si="7"/>
        <v/>
      </c>
      <c r="BX23" s="74" t="str">
        <f t="shared" si="7"/>
        <v/>
      </c>
      <c r="BY23" s="74" t="str">
        <f t="shared" si="7"/>
        <v/>
      </c>
      <c r="BZ23" s="74" t="str">
        <f t="shared" si="7"/>
        <v/>
      </c>
      <c r="CA23" s="74" t="str">
        <f t="shared" si="7"/>
        <v/>
      </c>
      <c r="CB23" s="74" t="str">
        <f t="shared" si="7"/>
        <v/>
      </c>
      <c r="CC23" s="74" t="str">
        <f t="shared" si="7"/>
        <v/>
      </c>
      <c r="CD23" s="74" t="str">
        <f t="shared" si="7"/>
        <v/>
      </c>
      <c r="CE23" s="74" t="str">
        <f t="shared" si="7"/>
        <v/>
      </c>
      <c r="CF23" s="74" t="str">
        <f t="shared" si="7"/>
        <v/>
      </c>
      <c r="CG23" s="74" t="str">
        <f t="shared" si="7"/>
        <v/>
      </c>
      <c r="CH23" s="74" t="str">
        <f t="shared" si="7"/>
        <v/>
      </c>
    </row>
    <row r="24" spans="1:86" s="74" customFormat="1" ht="22.5">
      <c r="A24" s="180">
        <f t="shared" si="8"/>
        <v>6</v>
      </c>
      <c r="B24" s="321"/>
      <c r="C24" s="321"/>
      <c r="D24" s="104"/>
      <c r="E24" s="105" t="str">
        <f>IFERROR(VLOOKUP(D24,REFERENCES!$C$2:$D$60,2,0),"Do not write in this cell !")</f>
        <v>Do not write in this cell !</v>
      </c>
      <c r="F24" s="294"/>
      <c r="G24" s="296"/>
      <c r="H24" s="294"/>
      <c r="I24" s="295"/>
      <c r="J24" s="296"/>
      <c r="K24" s="153"/>
      <c r="L24" s="294"/>
      <c r="M24" s="295"/>
      <c r="N24" s="295"/>
      <c r="O24" s="296"/>
      <c r="P24" s="300"/>
      <c r="Q24" s="301"/>
      <c r="R24" s="302"/>
      <c r="S24" s="303"/>
      <c r="T24" s="304"/>
      <c r="U24" s="247"/>
      <c r="V24" s="247"/>
      <c r="W24" s="247" t="str">
        <f t="shared" ref="W24" si="15">CONCATENATE(U24,V24)</f>
        <v/>
      </c>
      <c r="X24" s="106" t="str">
        <f>IF(U24="","Do not write in this cell !",VLOOKUP(W24,Liste!$A$18:$B$42,2,FALSE))</f>
        <v>Do not write in this cell !</v>
      </c>
      <c r="Y24" s="250"/>
      <c r="Z24" s="247"/>
      <c r="AA24" s="247"/>
      <c r="AB24" s="247" t="str">
        <f t="shared" ref="AB24" si="16">CONCATENATE(Z24,AA24)</f>
        <v/>
      </c>
      <c r="AC24" s="106" t="str">
        <f>IF(Z24="","Do not write in this cell !",VLOOKUP(AB24,Liste!$A$18:$B$42,2,FALSE))</f>
        <v>Do not write in this cell !</v>
      </c>
      <c r="AD24" s="255"/>
      <c r="AE24" s="255"/>
      <c r="AG24" s="82"/>
      <c r="AH24" s="74" t="str">
        <f t="shared" si="4"/>
        <v/>
      </c>
      <c r="AI24" s="74" t="str">
        <f t="shared" si="4"/>
        <v/>
      </c>
      <c r="AJ24" s="74" t="str">
        <f t="shared" si="4"/>
        <v/>
      </c>
      <c r="AK24" s="74" t="str">
        <f t="shared" si="4"/>
        <v/>
      </c>
      <c r="AL24" s="74" t="str">
        <f t="shared" si="4"/>
        <v/>
      </c>
      <c r="AM24" s="74" t="str">
        <f t="shared" si="4"/>
        <v/>
      </c>
      <c r="AN24" s="74" t="str">
        <f t="shared" si="4"/>
        <v/>
      </c>
      <c r="AO24" s="74" t="str">
        <f t="shared" si="4"/>
        <v/>
      </c>
      <c r="AP24" s="74" t="str">
        <f t="shared" si="4"/>
        <v/>
      </c>
      <c r="AQ24" s="74" t="str">
        <f t="shared" si="4"/>
        <v/>
      </c>
      <c r="AR24" s="74" t="str">
        <f t="shared" si="5"/>
        <v/>
      </c>
      <c r="AS24" s="74" t="str">
        <f t="shared" si="5"/>
        <v/>
      </c>
      <c r="AT24" s="74" t="str">
        <f t="shared" si="5"/>
        <v/>
      </c>
      <c r="AU24" s="74" t="str">
        <f t="shared" si="5"/>
        <v/>
      </c>
      <c r="AV24" s="74" t="str">
        <f t="shared" si="5"/>
        <v/>
      </c>
      <c r="AW24" s="74" t="str">
        <f t="shared" si="5"/>
        <v/>
      </c>
      <c r="AX24" s="74" t="str">
        <f t="shared" si="5"/>
        <v/>
      </c>
      <c r="AY24" s="74" t="str">
        <f t="shared" si="5"/>
        <v/>
      </c>
      <c r="AZ24" s="74" t="str">
        <f t="shared" si="5"/>
        <v/>
      </c>
      <c r="BA24" s="74" t="str">
        <f t="shared" si="5"/>
        <v/>
      </c>
      <c r="BB24" s="74" t="str">
        <f t="shared" si="5"/>
        <v/>
      </c>
      <c r="BC24" s="74" t="str">
        <f t="shared" si="5"/>
        <v/>
      </c>
      <c r="BD24" s="74" t="str">
        <f t="shared" si="5"/>
        <v/>
      </c>
      <c r="BE24" s="74" t="str">
        <f t="shared" si="5"/>
        <v/>
      </c>
      <c r="BF24" s="74" t="str">
        <f t="shared" si="5"/>
        <v/>
      </c>
      <c r="BJ24" s="74" t="str">
        <f t="shared" si="6"/>
        <v/>
      </c>
      <c r="BK24" s="74" t="str">
        <f t="shared" si="6"/>
        <v/>
      </c>
      <c r="BL24" s="74" t="str">
        <f t="shared" si="6"/>
        <v/>
      </c>
      <c r="BM24" s="74" t="str">
        <f t="shared" si="6"/>
        <v/>
      </c>
      <c r="BN24" s="74" t="str">
        <f t="shared" si="6"/>
        <v/>
      </c>
      <c r="BO24" s="74" t="str">
        <f t="shared" si="6"/>
        <v/>
      </c>
      <c r="BP24" s="74" t="str">
        <f t="shared" si="6"/>
        <v/>
      </c>
      <c r="BQ24" s="74" t="str">
        <f t="shared" si="6"/>
        <v/>
      </c>
      <c r="BR24" s="74" t="str">
        <f t="shared" si="6"/>
        <v/>
      </c>
      <c r="BS24" s="74" t="str">
        <f t="shared" si="6"/>
        <v/>
      </c>
      <c r="BT24" s="74" t="str">
        <f t="shared" si="7"/>
        <v/>
      </c>
      <c r="BU24" s="74" t="str">
        <f t="shared" si="7"/>
        <v/>
      </c>
      <c r="BV24" s="74" t="str">
        <f t="shared" si="7"/>
        <v/>
      </c>
      <c r="BW24" s="74" t="str">
        <f t="shared" si="7"/>
        <v/>
      </c>
      <c r="BX24" s="74" t="str">
        <f t="shared" si="7"/>
        <v/>
      </c>
      <c r="BY24" s="74" t="str">
        <f t="shared" si="7"/>
        <v/>
      </c>
      <c r="BZ24" s="74" t="str">
        <f t="shared" si="7"/>
        <v/>
      </c>
      <c r="CA24" s="74" t="str">
        <f t="shared" si="7"/>
        <v/>
      </c>
      <c r="CB24" s="74" t="str">
        <f t="shared" si="7"/>
        <v/>
      </c>
      <c r="CC24" s="74" t="str">
        <f t="shared" si="7"/>
        <v/>
      </c>
      <c r="CD24" s="74" t="str">
        <f t="shared" si="7"/>
        <v/>
      </c>
      <c r="CE24" s="74" t="str">
        <f t="shared" si="7"/>
        <v/>
      </c>
      <c r="CF24" s="74" t="str">
        <f t="shared" si="7"/>
        <v/>
      </c>
      <c r="CG24" s="74" t="str">
        <f t="shared" si="7"/>
        <v/>
      </c>
      <c r="CH24" s="74" t="str">
        <f t="shared" si="7"/>
        <v/>
      </c>
    </row>
    <row r="25" spans="1:86" s="74" customFormat="1" ht="22.5">
      <c r="A25" s="180">
        <f t="shared" si="8"/>
        <v>7</v>
      </c>
      <c r="B25" s="321"/>
      <c r="C25" s="321"/>
      <c r="D25" s="104"/>
      <c r="E25" s="105" t="str">
        <f>IFERROR(VLOOKUP(D25,REFERENCES!$C$2:$D$60,2,0),"Do not write in this cell !")</f>
        <v>Do not write in this cell !</v>
      </c>
      <c r="F25" s="294"/>
      <c r="G25" s="296"/>
      <c r="H25" s="294"/>
      <c r="I25" s="295"/>
      <c r="J25" s="296"/>
      <c r="K25" s="153"/>
      <c r="L25" s="294"/>
      <c r="M25" s="295"/>
      <c r="N25" s="295"/>
      <c r="O25" s="296"/>
      <c r="P25" s="300"/>
      <c r="Q25" s="301"/>
      <c r="R25" s="302"/>
      <c r="S25" s="303"/>
      <c r="T25" s="304"/>
      <c r="U25" s="247"/>
      <c r="V25" s="247"/>
      <c r="W25" s="247" t="str">
        <f t="shared" si="13"/>
        <v/>
      </c>
      <c r="X25" s="106" t="str">
        <f>IF(U25="","Do not write in this cell !",VLOOKUP(W25,Liste!$A$18:$B$42,2,FALSE))</f>
        <v>Do not write in this cell !</v>
      </c>
      <c r="Y25" s="250"/>
      <c r="Z25" s="247"/>
      <c r="AA25" s="247"/>
      <c r="AB25" s="247" t="str">
        <f t="shared" si="14"/>
        <v/>
      </c>
      <c r="AC25" s="106" t="str">
        <f>IF(Z25="","Do not write in this cell !",VLOOKUP(AB25,Liste!$A$18:$B$42,2,FALSE))</f>
        <v>Do not write in this cell !</v>
      </c>
      <c r="AD25" s="255"/>
      <c r="AE25" s="255"/>
      <c r="AG25" s="82"/>
      <c r="AH25" s="74" t="str">
        <f t="shared" si="4"/>
        <v/>
      </c>
      <c r="AI25" s="74" t="str">
        <f t="shared" si="4"/>
        <v/>
      </c>
      <c r="AJ25" s="74" t="str">
        <f t="shared" si="4"/>
        <v/>
      </c>
      <c r="AK25" s="74" t="str">
        <f t="shared" si="4"/>
        <v/>
      </c>
      <c r="AL25" s="74" t="str">
        <f t="shared" si="4"/>
        <v/>
      </c>
      <c r="AM25" s="74" t="str">
        <f t="shared" si="4"/>
        <v/>
      </c>
      <c r="AN25" s="74" t="str">
        <f t="shared" si="4"/>
        <v/>
      </c>
      <c r="AO25" s="74" t="str">
        <f t="shared" si="4"/>
        <v/>
      </c>
      <c r="AP25" s="74" t="str">
        <f t="shared" si="4"/>
        <v/>
      </c>
      <c r="AQ25" s="74" t="str">
        <f t="shared" si="4"/>
        <v/>
      </c>
      <c r="AR25" s="74" t="str">
        <f t="shared" si="5"/>
        <v/>
      </c>
      <c r="AS25" s="74" t="str">
        <f t="shared" si="5"/>
        <v/>
      </c>
      <c r="AT25" s="74" t="str">
        <f t="shared" si="5"/>
        <v/>
      </c>
      <c r="AU25" s="74" t="str">
        <f t="shared" si="5"/>
        <v/>
      </c>
      <c r="AV25" s="74" t="str">
        <f t="shared" si="5"/>
        <v/>
      </c>
      <c r="AW25" s="74" t="str">
        <f t="shared" si="5"/>
        <v/>
      </c>
      <c r="AX25" s="74" t="str">
        <f t="shared" si="5"/>
        <v/>
      </c>
      <c r="AY25" s="74" t="str">
        <f t="shared" si="5"/>
        <v/>
      </c>
      <c r="AZ25" s="74" t="str">
        <f t="shared" si="5"/>
        <v/>
      </c>
      <c r="BA25" s="74" t="str">
        <f t="shared" si="5"/>
        <v/>
      </c>
      <c r="BB25" s="74" t="str">
        <f t="shared" si="5"/>
        <v/>
      </c>
      <c r="BC25" s="74" t="str">
        <f t="shared" si="5"/>
        <v/>
      </c>
      <c r="BD25" s="74" t="str">
        <f t="shared" si="5"/>
        <v/>
      </c>
      <c r="BE25" s="74" t="str">
        <f t="shared" si="5"/>
        <v/>
      </c>
      <c r="BF25" s="74" t="str">
        <f t="shared" si="5"/>
        <v/>
      </c>
      <c r="BJ25" s="74" t="str">
        <f t="shared" si="6"/>
        <v/>
      </c>
      <c r="BK25" s="74" t="str">
        <f t="shared" si="6"/>
        <v/>
      </c>
      <c r="BL25" s="74" t="str">
        <f t="shared" si="6"/>
        <v/>
      </c>
      <c r="BM25" s="74" t="str">
        <f t="shared" si="6"/>
        <v/>
      </c>
      <c r="BN25" s="74" t="str">
        <f t="shared" si="6"/>
        <v/>
      </c>
      <c r="BO25" s="74" t="str">
        <f t="shared" si="6"/>
        <v/>
      </c>
      <c r="BP25" s="74" t="str">
        <f t="shared" si="6"/>
        <v/>
      </c>
      <c r="BQ25" s="74" t="str">
        <f t="shared" si="6"/>
        <v/>
      </c>
      <c r="BR25" s="74" t="str">
        <f t="shared" si="6"/>
        <v/>
      </c>
      <c r="BS25" s="74" t="str">
        <f t="shared" si="6"/>
        <v/>
      </c>
      <c r="BT25" s="74" t="str">
        <f t="shared" si="7"/>
        <v/>
      </c>
      <c r="BU25" s="74" t="str">
        <f t="shared" si="7"/>
        <v/>
      </c>
      <c r="BV25" s="74" t="str">
        <f t="shared" si="7"/>
        <v/>
      </c>
      <c r="BW25" s="74" t="str">
        <f t="shared" si="7"/>
        <v/>
      </c>
      <c r="BX25" s="74" t="str">
        <f t="shared" si="7"/>
        <v/>
      </c>
      <c r="BY25" s="74" t="str">
        <f t="shared" si="7"/>
        <v/>
      </c>
      <c r="BZ25" s="74" t="str">
        <f t="shared" si="7"/>
        <v/>
      </c>
      <c r="CA25" s="74" t="str">
        <f t="shared" si="7"/>
        <v/>
      </c>
      <c r="CB25" s="74" t="str">
        <f t="shared" si="7"/>
        <v/>
      </c>
      <c r="CC25" s="74" t="str">
        <f t="shared" si="7"/>
        <v/>
      </c>
      <c r="CD25" s="74" t="str">
        <f t="shared" si="7"/>
        <v/>
      </c>
      <c r="CE25" s="74" t="str">
        <f t="shared" si="7"/>
        <v/>
      </c>
      <c r="CF25" s="74" t="str">
        <f t="shared" si="7"/>
        <v/>
      </c>
      <c r="CG25" s="74" t="str">
        <f t="shared" si="7"/>
        <v/>
      </c>
      <c r="CH25" s="74" t="str">
        <f t="shared" si="7"/>
        <v/>
      </c>
    </row>
    <row r="26" spans="1:86" s="74" customFormat="1" ht="22.5">
      <c r="A26" s="180">
        <f t="shared" si="8"/>
        <v>8</v>
      </c>
      <c r="B26" s="321"/>
      <c r="C26" s="321"/>
      <c r="D26" s="104"/>
      <c r="E26" s="105" t="str">
        <f>IFERROR(VLOOKUP(D26,REFERENCES!$C$2:$D$60,2,0),"Do not write in this cell !")</f>
        <v>Do not write in this cell !</v>
      </c>
      <c r="F26" s="294"/>
      <c r="G26" s="296"/>
      <c r="H26" s="294"/>
      <c r="I26" s="295"/>
      <c r="J26" s="296"/>
      <c r="K26" s="153"/>
      <c r="L26" s="294"/>
      <c r="M26" s="295"/>
      <c r="N26" s="295"/>
      <c r="O26" s="296"/>
      <c r="P26" s="300"/>
      <c r="Q26" s="301"/>
      <c r="R26" s="302"/>
      <c r="S26" s="303"/>
      <c r="T26" s="304"/>
      <c r="U26" s="247"/>
      <c r="V26" s="247"/>
      <c r="W26" s="247" t="str">
        <f t="shared" si="13"/>
        <v/>
      </c>
      <c r="X26" s="106" t="str">
        <f>IF(U26="","Do not write in this cell !",VLOOKUP(W26,Liste!$A$18:$B$42,2,FALSE))</f>
        <v>Do not write in this cell !</v>
      </c>
      <c r="Y26" s="250"/>
      <c r="Z26" s="247"/>
      <c r="AA26" s="247"/>
      <c r="AB26" s="247" t="str">
        <f t="shared" si="14"/>
        <v/>
      </c>
      <c r="AC26" s="106" t="str">
        <f>IF(Z26="","Do not write in this cell !",VLOOKUP(AB26,Liste!$A$18:$B$42,2,FALSE))</f>
        <v>Do not write in this cell !</v>
      </c>
      <c r="AD26" s="255"/>
      <c r="AE26" s="255"/>
      <c r="AG26" s="82"/>
      <c r="AH26" s="74" t="str">
        <f t="shared" si="4"/>
        <v/>
      </c>
      <c r="AI26" s="74" t="str">
        <f t="shared" si="4"/>
        <v/>
      </c>
      <c r="AJ26" s="74" t="str">
        <f t="shared" si="4"/>
        <v/>
      </c>
      <c r="AK26" s="74" t="str">
        <f t="shared" si="4"/>
        <v/>
      </c>
      <c r="AL26" s="74" t="str">
        <f t="shared" si="4"/>
        <v/>
      </c>
      <c r="AM26" s="74" t="str">
        <f t="shared" si="4"/>
        <v/>
      </c>
      <c r="AN26" s="74" t="str">
        <f t="shared" si="4"/>
        <v/>
      </c>
      <c r="AO26" s="74" t="str">
        <f t="shared" si="4"/>
        <v/>
      </c>
      <c r="AP26" s="74" t="str">
        <f t="shared" si="4"/>
        <v/>
      </c>
      <c r="AQ26" s="74" t="str">
        <f t="shared" si="4"/>
        <v/>
      </c>
      <c r="AR26" s="74" t="str">
        <f t="shared" si="5"/>
        <v/>
      </c>
      <c r="AS26" s="74" t="str">
        <f t="shared" si="5"/>
        <v/>
      </c>
      <c r="AT26" s="74" t="str">
        <f t="shared" si="5"/>
        <v/>
      </c>
      <c r="AU26" s="74" t="str">
        <f t="shared" si="5"/>
        <v/>
      </c>
      <c r="AV26" s="74" t="str">
        <f t="shared" si="5"/>
        <v/>
      </c>
      <c r="AW26" s="74" t="str">
        <f t="shared" si="5"/>
        <v/>
      </c>
      <c r="AX26" s="74" t="str">
        <f t="shared" si="5"/>
        <v/>
      </c>
      <c r="AY26" s="74" t="str">
        <f t="shared" si="5"/>
        <v/>
      </c>
      <c r="AZ26" s="74" t="str">
        <f t="shared" si="5"/>
        <v/>
      </c>
      <c r="BA26" s="74" t="str">
        <f t="shared" si="5"/>
        <v/>
      </c>
      <c r="BB26" s="74" t="str">
        <f t="shared" si="5"/>
        <v/>
      </c>
      <c r="BC26" s="74" t="str">
        <f t="shared" si="5"/>
        <v/>
      </c>
      <c r="BD26" s="74" t="str">
        <f t="shared" si="5"/>
        <v/>
      </c>
      <c r="BE26" s="74" t="str">
        <f t="shared" si="5"/>
        <v/>
      </c>
      <c r="BF26" s="74" t="str">
        <f t="shared" si="5"/>
        <v/>
      </c>
      <c r="BJ26" s="74" t="str">
        <f t="shared" si="6"/>
        <v/>
      </c>
      <c r="BK26" s="74" t="str">
        <f t="shared" si="6"/>
        <v/>
      </c>
      <c r="BL26" s="74" t="str">
        <f t="shared" si="6"/>
        <v/>
      </c>
      <c r="BM26" s="74" t="str">
        <f t="shared" si="6"/>
        <v/>
      </c>
      <c r="BN26" s="74" t="str">
        <f t="shared" si="6"/>
        <v/>
      </c>
      <c r="BO26" s="74" t="str">
        <f t="shared" si="6"/>
        <v/>
      </c>
      <c r="BP26" s="74" t="str">
        <f t="shared" si="6"/>
        <v/>
      </c>
      <c r="BQ26" s="74" t="str">
        <f t="shared" si="6"/>
        <v/>
      </c>
      <c r="BR26" s="74" t="str">
        <f t="shared" si="6"/>
        <v/>
      </c>
      <c r="BS26" s="74" t="str">
        <f t="shared" si="6"/>
        <v/>
      </c>
      <c r="BT26" s="74" t="str">
        <f t="shared" si="7"/>
        <v/>
      </c>
      <c r="BU26" s="74" t="str">
        <f t="shared" si="7"/>
        <v/>
      </c>
      <c r="BV26" s="74" t="str">
        <f t="shared" si="7"/>
        <v/>
      </c>
      <c r="BW26" s="74" t="str">
        <f t="shared" si="7"/>
        <v/>
      </c>
      <c r="BX26" s="74" t="str">
        <f t="shared" si="7"/>
        <v/>
      </c>
      <c r="BY26" s="74" t="str">
        <f t="shared" si="7"/>
        <v/>
      </c>
      <c r="BZ26" s="74" t="str">
        <f t="shared" si="7"/>
        <v/>
      </c>
      <c r="CA26" s="74" t="str">
        <f t="shared" si="7"/>
        <v/>
      </c>
      <c r="CB26" s="74" t="str">
        <f t="shared" si="7"/>
        <v/>
      </c>
      <c r="CC26" s="74" t="str">
        <f t="shared" si="7"/>
        <v/>
      </c>
      <c r="CD26" s="74" t="str">
        <f t="shared" si="7"/>
        <v/>
      </c>
      <c r="CE26" s="74" t="str">
        <f t="shared" si="7"/>
        <v/>
      </c>
      <c r="CF26" s="74" t="str">
        <f t="shared" si="7"/>
        <v/>
      </c>
      <c r="CG26" s="74" t="str">
        <f t="shared" si="7"/>
        <v/>
      </c>
      <c r="CH26" s="74" t="str">
        <f t="shared" si="7"/>
        <v/>
      </c>
    </row>
    <row r="27" spans="1:86" s="74" customFormat="1" ht="22.5">
      <c r="A27" s="180">
        <f t="shared" si="8"/>
        <v>9</v>
      </c>
      <c r="B27" s="321"/>
      <c r="C27" s="321"/>
      <c r="D27" s="104"/>
      <c r="E27" s="105" t="str">
        <f>IFERROR(VLOOKUP(D27,REFERENCES!$C$2:$D$60,2,0),"Do not write in this cell !")</f>
        <v>Do not write in this cell !</v>
      </c>
      <c r="F27" s="294"/>
      <c r="G27" s="296"/>
      <c r="H27" s="294"/>
      <c r="I27" s="295"/>
      <c r="J27" s="296"/>
      <c r="K27" s="153"/>
      <c r="L27" s="294"/>
      <c r="M27" s="295"/>
      <c r="N27" s="295"/>
      <c r="O27" s="296"/>
      <c r="P27" s="300"/>
      <c r="Q27" s="301"/>
      <c r="R27" s="302"/>
      <c r="S27" s="303"/>
      <c r="T27" s="304"/>
      <c r="U27" s="247"/>
      <c r="V27" s="247"/>
      <c r="W27" s="247" t="str">
        <f t="shared" si="13"/>
        <v/>
      </c>
      <c r="X27" s="106" t="str">
        <f>IF(U27="","Do not write in this cell !",VLOOKUP(W27,Liste!$A$18:$B$42,2,FALSE))</f>
        <v>Do not write in this cell !</v>
      </c>
      <c r="Y27" s="250"/>
      <c r="Z27" s="247"/>
      <c r="AA27" s="247"/>
      <c r="AB27" s="247" t="str">
        <f t="shared" si="14"/>
        <v/>
      </c>
      <c r="AC27" s="106" t="str">
        <f>IF(Z27="","Do not write in this cell !",VLOOKUP(AB27,Liste!$A$18:$B$42,2,FALSE))</f>
        <v>Do not write in this cell !</v>
      </c>
      <c r="AD27" s="255"/>
      <c r="AE27" s="255"/>
      <c r="AG27" s="82"/>
      <c r="AH27" s="74" t="str">
        <f t="shared" si="4"/>
        <v/>
      </c>
      <c r="AI27" s="74" t="str">
        <f t="shared" si="4"/>
        <v/>
      </c>
      <c r="AJ27" s="74" t="str">
        <f t="shared" si="4"/>
        <v/>
      </c>
      <c r="AK27" s="74" t="str">
        <f t="shared" si="4"/>
        <v/>
      </c>
      <c r="AL27" s="74" t="str">
        <f t="shared" si="4"/>
        <v/>
      </c>
      <c r="AM27" s="74" t="str">
        <f t="shared" si="4"/>
        <v/>
      </c>
      <c r="AN27" s="74" t="str">
        <f t="shared" si="4"/>
        <v/>
      </c>
      <c r="AO27" s="74" t="str">
        <f t="shared" si="4"/>
        <v/>
      </c>
      <c r="AP27" s="74" t="str">
        <f t="shared" si="4"/>
        <v/>
      </c>
      <c r="AQ27" s="74" t="str">
        <f t="shared" si="4"/>
        <v/>
      </c>
      <c r="AR27" s="74" t="str">
        <f t="shared" si="5"/>
        <v/>
      </c>
      <c r="AS27" s="74" t="str">
        <f t="shared" si="5"/>
        <v/>
      </c>
      <c r="AT27" s="74" t="str">
        <f t="shared" si="5"/>
        <v/>
      </c>
      <c r="AU27" s="74" t="str">
        <f t="shared" si="5"/>
        <v/>
      </c>
      <c r="AV27" s="74" t="str">
        <f t="shared" si="5"/>
        <v/>
      </c>
      <c r="AW27" s="74" t="str">
        <f t="shared" si="5"/>
        <v/>
      </c>
      <c r="AX27" s="74" t="str">
        <f t="shared" si="5"/>
        <v/>
      </c>
      <c r="AY27" s="74" t="str">
        <f t="shared" si="5"/>
        <v/>
      </c>
      <c r="AZ27" s="74" t="str">
        <f t="shared" si="5"/>
        <v/>
      </c>
      <c r="BA27" s="74" t="str">
        <f t="shared" si="5"/>
        <v/>
      </c>
      <c r="BB27" s="74" t="str">
        <f t="shared" si="5"/>
        <v/>
      </c>
      <c r="BC27" s="74" t="str">
        <f t="shared" si="5"/>
        <v/>
      </c>
      <c r="BD27" s="74" t="str">
        <f t="shared" si="5"/>
        <v/>
      </c>
      <c r="BE27" s="74" t="str">
        <f t="shared" si="5"/>
        <v/>
      </c>
      <c r="BF27" s="74" t="str">
        <f t="shared" si="5"/>
        <v/>
      </c>
      <c r="BJ27" s="74" t="str">
        <f t="shared" si="6"/>
        <v/>
      </c>
      <c r="BK27" s="74" t="str">
        <f t="shared" si="6"/>
        <v/>
      </c>
      <c r="BL27" s="74" t="str">
        <f t="shared" si="6"/>
        <v/>
      </c>
      <c r="BM27" s="74" t="str">
        <f t="shared" si="6"/>
        <v/>
      </c>
      <c r="BN27" s="74" t="str">
        <f t="shared" si="6"/>
        <v/>
      </c>
      <c r="BO27" s="74" t="str">
        <f t="shared" si="6"/>
        <v/>
      </c>
      <c r="BP27" s="74" t="str">
        <f t="shared" si="6"/>
        <v/>
      </c>
      <c r="BQ27" s="74" t="str">
        <f t="shared" si="6"/>
        <v/>
      </c>
      <c r="BR27" s="74" t="str">
        <f t="shared" si="6"/>
        <v/>
      </c>
      <c r="BS27" s="74" t="str">
        <f t="shared" si="6"/>
        <v/>
      </c>
      <c r="BT27" s="74" t="str">
        <f t="shared" si="7"/>
        <v/>
      </c>
      <c r="BU27" s="74" t="str">
        <f t="shared" si="7"/>
        <v/>
      </c>
      <c r="BV27" s="74" t="str">
        <f t="shared" si="7"/>
        <v/>
      </c>
      <c r="BW27" s="74" t="str">
        <f t="shared" si="7"/>
        <v/>
      </c>
      <c r="BX27" s="74" t="str">
        <f t="shared" si="7"/>
        <v/>
      </c>
      <c r="BY27" s="74" t="str">
        <f t="shared" si="7"/>
        <v/>
      </c>
      <c r="BZ27" s="74" t="str">
        <f t="shared" si="7"/>
        <v/>
      </c>
      <c r="CA27" s="74" t="str">
        <f t="shared" si="7"/>
        <v/>
      </c>
      <c r="CB27" s="74" t="str">
        <f t="shared" si="7"/>
        <v/>
      </c>
      <c r="CC27" s="74" t="str">
        <f t="shared" si="7"/>
        <v/>
      </c>
      <c r="CD27" s="74" t="str">
        <f t="shared" si="7"/>
        <v/>
      </c>
      <c r="CE27" s="74" t="str">
        <f t="shared" si="7"/>
        <v/>
      </c>
      <c r="CF27" s="74" t="str">
        <f t="shared" si="7"/>
        <v/>
      </c>
      <c r="CG27" s="74" t="str">
        <f t="shared" si="7"/>
        <v/>
      </c>
      <c r="CH27" s="74" t="str">
        <f t="shared" si="7"/>
        <v/>
      </c>
    </row>
    <row r="28" spans="1:86" s="74" customFormat="1" ht="22.5">
      <c r="A28" s="180">
        <f t="shared" si="8"/>
        <v>10</v>
      </c>
      <c r="B28" s="321"/>
      <c r="C28" s="321"/>
      <c r="D28" s="104"/>
      <c r="E28" s="105" t="str">
        <f>IFERROR(VLOOKUP(D28,REFERENCES!$C$2:$D$60,2,0),"Do not write in this cell !")</f>
        <v>Do not write in this cell !</v>
      </c>
      <c r="F28" s="294"/>
      <c r="G28" s="296"/>
      <c r="H28" s="294"/>
      <c r="I28" s="295"/>
      <c r="J28" s="296"/>
      <c r="K28" s="153"/>
      <c r="L28" s="294"/>
      <c r="M28" s="295"/>
      <c r="N28" s="295"/>
      <c r="O28" s="296"/>
      <c r="P28" s="300"/>
      <c r="Q28" s="301"/>
      <c r="R28" s="302"/>
      <c r="S28" s="303"/>
      <c r="T28" s="304"/>
      <c r="U28" s="247"/>
      <c r="V28" s="247"/>
      <c r="W28" s="247" t="str">
        <f t="shared" si="13"/>
        <v/>
      </c>
      <c r="X28" s="106" t="str">
        <f>IF(U28="","Do not write in this cell !",VLOOKUP(W28,Liste!$A$18:$B$42,2,FALSE))</f>
        <v>Do not write in this cell !</v>
      </c>
      <c r="Y28" s="250"/>
      <c r="Z28" s="247"/>
      <c r="AA28" s="247"/>
      <c r="AB28" s="247" t="str">
        <f t="shared" si="14"/>
        <v/>
      </c>
      <c r="AC28" s="106" t="str">
        <f>IF(Z28="","Do not write in this cell !",VLOOKUP(AB28,Liste!$A$18:$B$42,2,FALSE))</f>
        <v>Do not write in this cell !</v>
      </c>
      <c r="AD28" s="255"/>
      <c r="AE28" s="255"/>
      <c r="AG28" s="82"/>
      <c r="AH28" s="74" t="str">
        <f t="shared" si="4"/>
        <v/>
      </c>
      <c r="AI28" s="74" t="str">
        <f t="shared" si="4"/>
        <v/>
      </c>
      <c r="AJ28" s="74" t="str">
        <f t="shared" si="4"/>
        <v/>
      </c>
      <c r="AK28" s="74" t="str">
        <f t="shared" si="4"/>
        <v/>
      </c>
      <c r="AL28" s="74" t="str">
        <f t="shared" si="4"/>
        <v/>
      </c>
      <c r="AM28" s="74" t="str">
        <f t="shared" si="4"/>
        <v/>
      </c>
      <c r="AN28" s="74" t="str">
        <f t="shared" si="4"/>
        <v/>
      </c>
      <c r="AO28" s="74" t="str">
        <f t="shared" si="4"/>
        <v/>
      </c>
      <c r="AP28" s="74" t="str">
        <f t="shared" si="4"/>
        <v/>
      </c>
      <c r="AQ28" s="74" t="str">
        <f t="shared" si="4"/>
        <v/>
      </c>
      <c r="AR28" s="74" t="str">
        <f t="shared" si="5"/>
        <v/>
      </c>
      <c r="AS28" s="74" t="str">
        <f t="shared" si="5"/>
        <v/>
      </c>
      <c r="AT28" s="74" t="str">
        <f t="shared" si="5"/>
        <v/>
      </c>
      <c r="AU28" s="74" t="str">
        <f t="shared" si="5"/>
        <v/>
      </c>
      <c r="AV28" s="74" t="str">
        <f t="shared" si="5"/>
        <v/>
      </c>
      <c r="AW28" s="74" t="str">
        <f t="shared" si="5"/>
        <v/>
      </c>
      <c r="AX28" s="74" t="str">
        <f t="shared" si="5"/>
        <v/>
      </c>
      <c r="AY28" s="74" t="str">
        <f t="shared" si="5"/>
        <v/>
      </c>
      <c r="AZ28" s="74" t="str">
        <f t="shared" si="5"/>
        <v/>
      </c>
      <c r="BA28" s="74" t="str">
        <f t="shared" si="5"/>
        <v/>
      </c>
      <c r="BB28" s="74" t="str">
        <f t="shared" si="5"/>
        <v/>
      </c>
      <c r="BC28" s="74" t="str">
        <f t="shared" si="5"/>
        <v/>
      </c>
      <c r="BD28" s="74" t="str">
        <f t="shared" si="5"/>
        <v/>
      </c>
      <c r="BE28" s="74" t="str">
        <f t="shared" si="5"/>
        <v/>
      </c>
      <c r="BF28" s="74" t="str">
        <f t="shared" si="5"/>
        <v/>
      </c>
      <c r="BJ28" s="74" t="str">
        <f t="shared" si="6"/>
        <v/>
      </c>
      <c r="BK28" s="74" t="str">
        <f t="shared" si="6"/>
        <v/>
      </c>
      <c r="BL28" s="74" t="str">
        <f t="shared" si="6"/>
        <v/>
      </c>
      <c r="BM28" s="74" t="str">
        <f t="shared" si="6"/>
        <v/>
      </c>
      <c r="BN28" s="74" t="str">
        <f t="shared" si="6"/>
        <v/>
      </c>
      <c r="BO28" s="74" t="str">
        <f t="shared" si="6"/>
        <v/>
      </c>
      <c r="BP28" s="74" t="str">
        <f t="shared" si="6"/>
        <v/>
      </c>
      <c r="BQ28" s="74" t="str">
        <f t="shared" si="6"/>
        <v/>
      </c>
      <c r="BR28" s="74" t="str">
        <f t="shared" si="6"/>
        <v/>
      </c>
      <c r="BS28" s="74" t="str">
        <f t="shared" si="6"/>
        <v/>
      </c>
      <c r="BT28" s="74" t="str">
        <f t="shared" si="7"/>
        <v/>
      </c>
      <c r="BU28" s="74" t="str">
        <f t="shared" si="7"/>
        <v/>
      </c>
      <c r="BV28" s="74" t="str">
        <f t="shared" si="7"/>
        <v/>
      </c>
      <c r="BW28" s="74" t="str">
        <f t="shared" si="7"/>
        <v/>
      </c>
      <c r="BX28" s="74" t="str">
        <f t="shared" si="7"/>
        <v/>
      </c>
      <c r="BY28" s="74" t="str">
        <f t="shared" si="7"/>
        <v/>
      </c>
      <c r="BZ28" s="74" t="str">
        <f t="shared" si="7"/>
        <v/>
      </c>
      <c r="CA28" s="74" t="str">
        <f t="shared" si="7"/>
        <v/>
      </c>
      <c r="CB28" s="74" t="str">
        <f t="shared" si="7"/>
        <v/>
      </c>
      <c r="CC28" s="74" t="str">
        <f t="shared" si="7"/>
        <v/>
      </c>
      <c r="CD28" s="74" t="str">
        <f t="shared" si="7"/>
        <v/>
      </c>
      <c r="CE28" s="74" t="str">
        <f t="shared" si="7"/>
        <v/>
      </c>
      <c r="CF28" s="74" t="str">
        <f t="shared" si="7"/>
        <v/>
      </c>
      <c r="CG28" s="74" t="str">
        <f t="shared" si="7"/>
        <v/>
      </c>
      <c r="CH28" s="74" t="str">
        <f t="shared" si="7"/>
        <v/>
      </c>
    </row>
    <row r="29" spans="1:86" s="74" customFormat="1" ht="22.5">
      <c r="A29" s="180">
        <f t="shared" si="8"/>
        <v>11</v>
      </c>
      <c r="B29" s="321"/>
      <c r="C29" s="321"/>
      <c r="D29" s="104"/>
      <c r="E29" s="105" t="str">
        <f>IFERROR(VLOOKUP(D29,REFERENCES!$C$2:$D$60,2,0),"Do not write in this cell !")</f>
        <v>Do not write in this cell !</v>
      </c>
      <c r="F29" s="294"/>
      <c r="G29" s="296"/>
      <c r="H29" s="294"/>
      <c r="I29" s="295"/>
      <c r="J29" s="296"/>
      <c r="K29" s="153"/>
      <c r="L29" s="294"/>
      <c r="M29" s="295"/>
      <c r="N29" s="295"/>
      <c r="O29" s="296"/>
      <c r="P29" s="300"/>
      <c r="Q29" s="301"/>
      <c r="R29" s="302"/>
      <c r="S29" s="303"/>
      <c r="T29" s="304"/>
      <c r="U29" s="247"/>
      <c r="V29" s="247"/>
      <c r="W29" s="247" t="str">
        <f t="shared" si="13"/>
        <v/>
      </c>
      <c r="X29" s="106" t="str">
        <f>IF(U29="","Do not write in this cell !",VLOOKUP(W29,Liste!$A$18:$B$42,2,FALSE))</f>
        <v>Do not write in this cell !</v>
      </c>
      <c r="Y29" s="250"/>
      <c r="Z29" s="247"/>
      <c r="AA29" s="247"/>
      <c r="AB29" s="247" t="str">
        <f t="shared" si="14"/>
        <v/>
      </c>
      <c r="AC29" s="106" t="str">
        <f>IF(Z29="","Do not write in this cell !",VLOOKUP(AB29,Liste!$A$18:$B$42,2,FALSE))</f>
        <v>Do not write in this cell !</v>
      </c>
      <c r="AD29" s="255"/>
      <c r="AE29" s="255"/>
      <c r="AG29" s="82"/>
      <c r="AH29" s="74" t="str">
        <f t="shared" si="4"/>
        <v/>
      </c>
      <c r="AI29" s="74" t="str">
        <f t="shared" si="4"/>
        <v/>
      </c>
      <c r="AJ29" s="74" t="str">
        <f t="shared" si="4"/>
        <v/>
      </c>
      <c r="AK29" s="74" t="str">
        <f t="shared" si="4"/>
        <v/>
      </c>
      <c r="AL29" s="74" t="str">
        <f t="shared" si="4"/>
        <v/>
      </c>
      <c r="AM29" s="74" t="str">
        <f t="shared" si="4"/>
        <v/>
      </c>
      <c r="AN29" s="74" t="str">
        <f t="shared" si="4"/>
        <v/>
      </c>
      <c r="AO29" s="74" t="str">
        <f t="shared" si="4"/>
        <v/>
      </c>
      <c r="AP29" s="74" t="str">
        <f t="shared" si="4"/>
        <v/>
      </c>
      <c r="AQ29" s="74" t="str">
        <f t="shared" si="4"/>
        <v/>
      </c>
      <c r="AR29" s="74" t="str">
        <f t="shared" si="5"/>
        <v/>
      </c>
      <c r="AS29" s="74" t="str">
        <f t="shared" si="5"/>
        <v/>
      </c>
      <c r="AT29" s="74" t="str">
        <f t="shared" si="5"/>
        <v/>
      </c>
      <c r="AU29" s="74" t="str">
        <f t="shared" si="5"/>
        <v/>
      </c>
      <c r="AV29" s="74" t="str">
        <f t="shared" si="5"/>
        <v/>
      </c>
      <c r="AW29" s="74" t="str">
        <f t="shared" si="5"/>
        <v/>
      </c>
      <c r="AX29" s="74" t="str">
        <f t="shared" si="5"/>
        <v/>
      </c>
      <c r="AY29" s="74" t="str">
        <f t="shared" si="5"/>
        <v/>
      </c>
      <c r="AZ29" s="74" t="str">
        <f t="shared" si="5"/>
        <v/>
      </c>
      <c r="BA29" s="74" t="str">
        <f t="shared" si="5"/>
        <v/>
      </c>
      <c r="BB29" s="74" t="str">
        <f t="shared" si="5"/>
        <v/>
      </c>
      <c r="BC29" s="74" t="str">
        <f t="shared" si="5"/>
        <v/>
      </c>
      <c r="BD29" s="74" t="str">
        <f t="shared" si="5"/>
        <v/>
      </c>
      <c r="BE29" s="74" t="str">
        <f t="shared" si="5"/>
        <v/>
      </c>
      <c r="BF29" s="74" t="str">
        <f t="shared" si="5"/>
        <v/>
      </c>
      <c r="BJ29" s="74" t="str">
        <f t="shared" si="6"/>
        <v/>
      </c>
      <c r="BK29" s="74" t="str">
        <f t="shared" si="6"/>
        <v/>
      </c>
      <c r="BL29" s="74" t="str">
        <f t="shared" si="6"/>
        <v/>
      </c>
      <c r="BM29" s="74" t="str">
        <f t="shared" si="6"/>
        <v/>
      </c>
      <c r="BN29" s="74" t="str">
        <f t="shared" si="6"/>
        <v/>
      </c>
      <c r="BO29" s="74" t="str">
        <f t="shared" si="6"/>
        <v/>
      </c>
      <c r="BP29" s="74" t="str">
        <f t="shared" si="6"/>
        <v/>
      </c>
      <c r="BQ29" s="74" t="str">
        <f t="shared" si="6"/>
        <v/>
      </c>
      <c r="BR29" s="74" t="str">
        <f t="shared" si="6"/>
        <v/>
      </c>
      <c r="BS29" s="74" t="str">
        <f t="shared" si="6"/>
        <v/>
      </c>
      <c r="BT29" s="74" t="str">
        <f t="shared" si="7"/>
        <v/>
      </c>
      <c r="BU29" s="74" t="str">
        <f t="shared" si="7"/>
        <v/>
      </c>
      <c r="BV29" s="74" t="str">
        <f t="shared" si="7"/>
        <v/>
      </c>
      <c r="BW29" s="74" t="str">
        <f t="shared" si="7"/>
        <v/>
      </c>
      <c r="BX29" s="74" t="str">
        <f t="shared" si="7"/>
        <v/>
      </c>
      <c r="BY29" s="74" t="str">
        <f t="shared" si="7"/>
        <v/>
      </c>
      <c r="BZ29" s="74" t="str">
        <f t="shared" si="7"/>
        <v/>
      </c>
      <c r="CA29" s="74" t="str">
        <f t="shared" si="7"/>
        <v/>
      </c>
      <c r="CB29" s="74" t="str">
        <f t="shared" si="7"/>
        <v/>
      </c>
      <c r="CC29" s="74" t="str">
        <f t="shared" si="7"/>
        <v/>
      </c>
      <c r="CD29" s="74" t="str">
        <f t="shared" si="7"/>
        <v/>
      </c>
      <c r="CE29" s="74" t="str">
        <f t="shared" si="7"/>
        <v/>
      </c>
      <c r="CF29" s="74" t="str">
        <f t="shared" si="7"/>
        <v/>
      </c>
      <c r="CG29" s="74" t="str">
        <f t="shared" si="7"/>
        <v/>
      </c>
      <c r="CH29" s="74" t="str">
        <f t="shared" si="7"/>
        <v/>
      </c>
    </row>
    <row r="30" spans="1:86" s="74" customFormat="1" ht="22.5">
      <c r="A30" s="180">
        <f t="shared" si="8"/>
        <v>12</v>
      </c>
      <c r="B30" s="321"/>
      <c r="C30" s="321"/>
      <c r="D30" s="104"/>
      <c r="E30" s="105" t="str">
        <f>IFERROR(VLOOKUP(D30,REFERENCES!$C$2:$D$60,2,0),"Do not write in this cell !")</f>
        <v>Do not write in this cell !</v>
      </c>
      <c r="F30" s="294"/>
      <c r="G30" s="296"/>
      <c r="H30" s="294"/>
      <c r="I30" s="295"/>
      <c r="J30" s="296"/>
      <c r="K30" s="153"/>
      <c r="L30" s="294"/>
      <c r="M30" s="295"/>
      <c r="N30" s="295"/>
      <c r="O30" s="296"/>
      <c r="P30" s="300"/>
      <c r="Q30" s="301"/>
      <c r="R30" s="302"/>
      <c r="S30" s="303"/>
      <c r="T30" s="304"/>
      <c r="U30" s="247"/>
      <c r="V30" s="247"/>
      <c r="W30" s="247" t="str">
        <f t="shared" si="13"/>
        <v/>
      </c>
      <c r="X30" s="106" t="str">
        <f>IF(U30="","Do not write in this cell !",VLOOKUP(W30,Liste!$A$18:$B$42,2,FALSE))</f>
        <v>Do not write in this cell !</v>
      </c>
      <c r="Y30" s="250"/>
      <c r="Z30" s="247"/>
      <c r="AA30" s="247"/>
      <c r="AB30" s="247" t="str">
        <f t="shared" si="14"/>
        <v/>
      </c>
      <c r="AC30" s="106" t="str">
        <f>IF(Z30="","Do not write in this cell !",VLOOKUP(AB30,Liste!$A$18:$B$42,2,FALSE))</f>
        <v>Do not write in this cell !</v>
      </c>
      <c r="AD30" s="255"/>
      <c r="AE30" s="255"/>
      <c r="AG30" s="82"/>
      <c r="AH30" s="74" t="str">
        <f t="shared" ref="AH30:AQ39" si="17">IF($V30&amp;$U30=AH$18,$A30,"")</f>
        <v/>
      </c>
      <c r="AI30" s="74" t="str">
        <f t="shared" si="17"/>
        <v/>
      </c>
      <c r="AJ30" s="74" t="str">
        <f t="shared" si="17"/>
        <v/>
      </c>
      <c r="AK30" s="74" t="str">
        <f t="shared" si="17"/>
        <v/>
      </c>
      <c r="AL30" s="74" t="str">
        <f t="shared" si="17"/>
        <v/>
      </c>
      <c r="AM30" s="74" t="str">
        <f t="shared" si="17"/>
        <v/>
      </c>
      <c r="AN30" s="74" t="str">
        <f t="shared" si="17"/>
        <v/>
      </c>
      <c r="AO30" s="74" t="str">
        <f t="shared" si="17"/>
        <v/>
      </c>
      <c r="AP30" s="74" t="str">
        <f t="shared" si="17"/>
        <v/>
      </c>
      <c r="AQ30" s="74" t="str">
        <f t="shared" si="17"/>
        <v/>
      </c>
      <c r="AR30" s="74" t="str">
        <f t="shared" ref="AR30:BF39" si="18">IF($V30&amp;$U30=AR$18,$A30,"")</f>
        <v/>
      </c>
      <c r="AS30" s="74" t="str">
        <f t="shared" si="18"/>
        <v/>
      </c>
      <c r="AT30" s="74" t="str">
        <f t="shared" si="18"/>
        <v/>
      </c>
      <c r="AU30" s="74" t="str">
        <f t="shared" si="18"/>
        <v/>
      </c>
      <c r="AV30" s="74" t="str">
        <f t="shared" si="18"/>
        <v/>
      </c>
      <c r="AW30" s="74" t="str">
        <f t="shared" si="18"/>
        <v/>
      </c>
      <c r="AX30" s="74" t="str">
        <f t="shared" si="18"/>
        <v/>
      </c>
      <c r="AY30" s="74" t="str">
        <f t="shared" si="18"/>
        <v/>
      </c>
      <c r="AZ30" s="74" t="str">
        <f t="shared" si="18"/>
        <v/>
      </c>
      <c r="BA30" s="74" t="str">
        <f t="shared" si="18"/>
        <v/>
      </c>
      <c r="BB30" s="74" t="str">
        <f t="shared" si="18"/>
        <v/>
      </c>
      <c r="BC30" s="74" t="str">
        <f t="shared" si="18"/>
        <v/>
      </c>
      <c r="BD30" s="74" t="str">
        <f t="shared" si="18"/>
        <v/>
      </c>
      <c r="BE30" s="74" t="str">
        <f t="shared" si="18"/>
        <v/>
      </c>
      <c r="BF30" s="74" t="str">
        <f t="shared" si="18"/>
        <v/>
      </c>
      <c r="BJ30" s="74" t="str">
        <f t="shared" ref="BJ30:BS39" si="19">IF($AA30&amp;$Z30=BJ$18,$A30,"")</f>
        <v/>
      </c>
      <c r="BK30" s="74" t="str">
        <f t="shared" si="19"/>
        <v/>
      </c>
      <c r="BL30" s="74" t="str">
        <f t="shared" si="19"/>
        <v/>
      </c>
      <c r="BM30" s="74" t="str">
        <f t="shared" si="19"/>
        <v/>
      </c>
      <c r="BN30" s="74" t="str">
        <f t="shared" si="19"/>
        <v/>
      </c>
      <c r="BO30" s="74" t="str">
        <f t="shared" si="19"/>
        <v/>
      </c>
      <c r="BP30" s="74" t="str">
        <f t="shared" si="19"/>
        <v/>
      </c>
      <c r="BQ30" s="74" t="str">
        <f t="shared" si="19"/>
        <v/>
      </c>
      <c r="BR30" s="74" t="str">
        <f t="shared" si="19"/>
        <v/>
      </c>
      <c r="BS30" s="74" t="str">
        <f t="shared" si="19"/>
        <v/>
      </c>
      <c r="BT30" s="74" t="str">
        <f t="shared" ref="BT30:CH39" si="20">IF($AA30&amp;$Z30=BT$18,$A30,"")</f>
        <v/>
      </c>
      <c r="BU30" s="74" t="str">
        <f t="shared" si="20"/>
        <v/>
      </c>
      <c r="BV30" s="74" t="str">
        <f t="shared" si="20"/>
        <v/>
      </c>
      <c r="BW30" s="74" t="str">
        <f t="shared" si="20"/>
        <v/>
      </c>
      <c r="BX30" s="74" t="str">
        <f t="shared" si="20"/>
        <v/>
      </c>
      <c r="BY30" s="74" t="str">
        <f t="shared" si="20"/>
        <v/>
      </c>
      <c r="BZ30" s="74" t="str">
        <f t="shared" si="20"/>
        <v/>
      </c>
      <c r="CA30" s="74" t="str">
        <f t="shared" si="20"/>
        <v/>
      </c>
      <c r="CB30" s="74" t="str">
        <f t="shared" si="20"/>
        <v/>
      </c>
      <c r="CC30" s="74" t="str">
        <f t="shared" si="20"/>
        <v/>
      </c>
      <c r="CD30" s="74" t="str">
        <f t="shared" si="20"/>
        <v/>
      </c>
      <c r="CE30" s="74" t="str">
        <f t="shared" si="20"/>
        <v/>
      </c>
      <c r="CF30" s="74" t="str">
        <f t="shared" si="20"/>
        <v/>
      </c>
      <c r="CG30" s="74" t="str">
        <f t="shared" si="20"/>
        <v/>
      </c>
      <c r="CH30" s="74" t="str">
        <f t="shared" si="20"/>
        <v/>
      </c>
    </row>
    <row r="31" spans="1:86" s="74" customFormat="1" ht="22.5">
      <c r="A31" s="180">
        <f t="shared" si="8"/>
        <v>13</v>
      </c>
      <c r="B31" s="321"/>
      <c r="C31" s="321"/>
      <c r="D31" s="104"/>
      <c r="E31" s="105" t="str">
        <f>IFERROR(VLOOKUP(D31,REFERENCES!$C$2:$D$60,2,0),"Do not write in this cell !")</f>
        <v>Do not write in this cell !</v>
      </c>
      <c r="F31" s="294"/>
      <c r="G31" s="296"/>
      <c r="H31" s="294"/>
      <c r="I31" s="295"/>
      <c r="J31" s="296"/>
      <c r="K31" s="153"/>
      <c r="L31" s="294"/>
      <c r="M31" s="295"/>
      <c r="N31" s="295"/>
      <c r="O31" s="296"/>
      <c r="P31" s="300"/>
      <c r="Q31" s="301"/>
      <c r="R31" s="302"/>
      <c r="S31" s="303"/>
      <c r="T31" s="304"/>
      <c r="U31" s="247"/>
      <c r="V31" s="247"/>
      <c r="W31" s="247" t="str">
        <f t="shared" si="13"/>
        <v/>
      </c>
      <c r="X31" s="106" t="str">
        <f>IF(U31="","Do not write in this cell !",VLOOKUP(W31,Liste!$A$18:$B$42,2,FALSE))</f>
        <v>Do not write in this cell !</v>
      </c>
      <c r="Y31" s="250"/>
      <c r="Z31" s="247"/>
      <c r="AA31" s="247"/>
      <c r="AB31" s="247" t="str">
        <f t="shared" si="14"/>
        <v/>
      </c>
      <c r="AC31" s="106" t="str">
        <f>IF(Z31="","Do not write in this cell !",VLOOKUP(AB31,Liste!$A$18:$B$42,2,FALSE))</f>
        <v>Do not write in this cell !</v>
      </c>
      <c r="AD31" s="255"/>
      <c r="AE31" s="255"/>
      <c r="AG31" s="82"/>
      <c r="AH31" s="74" t="str">
        <f t="shared" si="17"/>
        <v/>
      </c>
      <c r="AI31" s="74" t="str">
        <f t="shared" si="17"/>
        <v/>
      </c>
      <c r="AJ31" s="74" t="str">
        <f t="shared" si="17"/>
        <v/>
      </c>
      <c r="AK31" s="74" t="str">
        <f t="shared" si="17"/>
        <v/>
      </c>
      <c r="AL31" s="74" t="str">
        <f t="shared" si="17"/>
        <v/>
      </c>
      <c r="AM31" s="74" t="str">
        <f t="shared" si="17"/>
        <v/>
      </c>
      <c r="AN31" s="74" t="str">
        <f t="shared" si="17"/>
        <v/>
      </c>
      <c r="AO31" s="74" t="str">
        <f t="shared" si="17"/>
        <v/>
      </c>
      <c r="AP31" s="74" t="str">
        <f t="shared" si="17"/>
        <v/>
      </c>
      <c r="AQ31" s="74" t="str">
        <f t="shared" si="17"/>
        <v/>
      </c>
      <c r="AR31" s="74" t="str">
        <f t="shared" si="18"/>
        <v/>
      </c>
      <c r="AS31" s="74" t="str">
        <f t="shared" si="18"/>
        <v/>
      </c>
      <c r="AT31" s="74" t="str">
        <f t="shared" si="18"/>
        <v/>
      </c>
      <c r="AU31" s="74" t="str">
        <f t="shared" si="18"/>
        <v/>
      </c>
      <c r="AV31" s="74" t="str">
        <f t="shared" si="18"/>
        <v/>
      </c>
      <c r="AW31" s="74" t="str">
        <f t="shared" si="18"/>
        <v/>
      </c>
      <c r="AX31" s="74" t="str">
        <f t="shared" si="18"/>
        <v/>
      </c>
      <c r="AY31" s="74" t="str">
        <f t="shared" si="18"/>
        <v/>
      </c>
      <c r="AZ31" s="74" t="str">
        <f t="shared" si="18"/>
        <v/>
      </c>
      <c r="BA31" s="74" t="str">
        <f t="shared" si="18"/>
        <v/>
      </c>
      <c r="BB31" s="74" t="str">
        <f t="shared" si="18"/>
        <v/>
      </c>
      <c r="BC31" s="74" t="str">
        <f t="shared" si="18"/>
        <v/>
      </c>
      <c r="BD31" s="74" t="str">
        <f t="shared" si="18"/>
        <v/>
      </c>
      <c r="BE31" s="74" t="str">
        <f t="shared" si="18"/>
        <v/>
      </c>
      <c r="BF31" s="74" t="str">
        <f t="shared" si="18"/>
        <v/>
      </c>
      <c r="BJ31" s="74" t="str">
        <f t="shared" si="19"/>
        <v/>
      </c>
      <c r="BK31" s="74" t="str">
        <f t="shared" si="19"/>
        <v/>
      </c>
      <c r="BL31" s="74" t="str">
        <f t="shared" si="19"/>
        <v/>
      </c>
      <c r="BM31" s="74" t="str">
        <f t="shared" si="19"/>
        <v/>
      </c>
      <c r="BN31" s="74" t="str">
        <f t="shared" si="19"/>
        <v/>
      </c>
      <c r="BO31" s="74" t="str">
        <f t="shared" si="19"/>
        <v/>
      </c>
      <c r="BP31" s="74" t="str">
        <f t="shared" si="19"/>
        <v/>
      </c>
      <c r="BQ31" s="74" t="str">
        <f t="shared" si="19"/>
        <v/>
      </c>
      <c r="BR31" s="74" t="str">
        <f t="shared" si="19"/>
        <v/>
      </c>
      <c r="BS31" s="74" t="str">
        <f t="shared" si="19"/>
        <v/>
      </c>
      <c r="BT31" s="74" t="str">
        <f t="shared" si="20"/>
        <v/>
      </c>
      <c r="BU31" s="74" t="str">
        <f t="shared" si="20"/>
        <v/>
      </c>
      <c r="BV31" s="74" t="str">
        <f t="shared" si="20"/>
        <v/>
      </c>
      <c r="BW31" s="74" t="str">
        <f t="shared" si="20"/>
        <v/>
      </c>
      <c r="BX31" s="74" t="str">
        <f t="shared" si="20"/>
        <v/>
      </c>
      <c r="BY31" s="74" t="str">
        <f t="shared" si="20"/>
        <v/>
      </c>
      <c r="BZ31" s="74" t="str">
        <f t="shared" si="20"/>
        <v/>
      </c>
      <c r="CA31" s="74" t="str">
        <f t="shared" si="20"/>
        <v/>
      </c>
      <c r="CB31" s="74" t="str">
        <f t="shared" si="20"/>
        <v/>
      </c>
      <c r="CC31" s="74" t="str">
        <f t="shared" si="20"/>
        <v/>
      </c>
      <c r="CD31" s="74" t="str">
        <f t="shared" si="20"/>
        <v/>
      </c>
      <c r="CE31" s="74" t="str">
        <f t="shared" si="20"/>
        <v/>
      </c>
      <c r="CF31" s="74" t="str">
        <f t="shared" si="20"/>
        <v/>
      </c>
      <c r="CG31" s="74" t="str">
        <f t="shared" si="20"/>
        <v/>
      </c>
      <c r="CH31" s="74" t="str">
        <f t="shared" si="20"/>
        <v/>
      </c>
    </row>
    <row r="32" spans="1:86" s="74" customFormat="1" ht="22.5">
      <c r="A32" s="180">
        <f t="shared" si="8"/>
        <v>14</v>
      </c>
      <c r="B32" s="321"/>
      <c r="C32" s="321"/>
      <c r="D32" s="104"/>
      <c r="E32" s="105" t="str">
        <f>IFERROR(VLOOKUP(D32,REFERENCES!$C$2:$D$60,2,0),"Do not write in this cell !")</f>
        <v>Do not write in this cell !</v>
      </c>
      <c r="F32" s="294"/>
      <c r="G32" s="296"/>
      <c r="H32" s="294"/>
      <c r="I32" s="295"/>
      <c r="J32" s="296"/>
      <c r="K32" s="153"/>
      <c r="L32" s="294"/>
      <c r="M32" s="295"/>
      <c r="N32" s="295"/>
      <c r="O32" s="296"/>
      <c r="P32" s="300"/>
      <c r="Q32" s="301"/>
      <c r="R32" s="302"/>
      <c r="S32" s="303"/>
      <c r="T32" s="304"/>
      <c r="U32" s="247"/>
      <c r="V32" s="247"/>
      <c r="W32" s="247" t="str">
        <f t="shared" si="13"/>
        <v/>
      </c>
      <c r="X32" s="106" t="str">
        <f>IF(U32="","Do not write in this cell !",VLOOKUP(W32,Liste!$A$18:$B$42,2,FALSE))</f>
        <v>Do not write in this cell !</v>
      </c>
      <c r="Y32" s="250"/>
      <c r="Z32" s="247"/>
      <c r="AA32" s="247"/>
      <c r="AB32" s="247" t="str">
        <f t="shared" si="14"/>
        <v/>
      </c>
      <c r="AC32" s="106" t="str">
        <f>IF(Z32="","Do not write in this cell !",VLOOKUP(AB32,Liste!$A$18:$B$42,2,FALSE))</f>
        <v>Do not write in this cell !</v>
      </c>
      <c r="AD32" s="255"/>
      <c r="AE32" s="255"/>
      <c r="AG32" s="82"/>
      <c r="AH32" s="74" t="str">
        <f t="shared" si="17"/>
        <v/>
      </c>
      <c r="AI32" s="74" t="str">
        <f t="shared" si="17"/>
        <v/>
      </c>
      <c r="AJ32" s="74" t="str">
        <f t="shared" si="17"/>
        <v/>
      </c>
      <c r="AK32" s="74" t="str">
        <f t="shared" si="17"/>
        <v/>
      </c>
      <c r="AL32" s="74" t="str">
        <f t="shared" si="17"/>
        <v/>
      </c>
      <c r="AM32" s="74" t="str">
        <f t="shared" si="17"/>
        <v/>
      </c>
      <c r="AN32" s="74" t="str">
        <f t="shared" si="17"/>
        <v/>
      </c>
      <c r="AO32" s="74" t="str">
        <f t="shared" si="17"/>
        <v/>
      </c>
      <c r="AP32" s="74" t="str">
        <f t="shared" si="17"/>
        <v/>
      </c>
      <c r="AQ32" s="74" t="str">
        <f t="shared" si="17"/>
        <v/>
      </c>
      <c r="AR32" s="74" t="str">
        <f t="shared" si="18"/>
        <v/>
      </c>
      <c r="AS32" s="74" t="str">
        <f t="shared" si="18"/>
        <v/>
      </c>
      <c r="AT32" s="74" t="str">
        <f t="shared" si="18"/>
        <v/>
      </c>
      <c r="AU32" s="74" t="str">
        <f t="shared" si="18"/>
        <v/>
      </c>
      <c r="AV32" s="74" t="str">
        <f t="shared" si="18"/>
        <v/>
      </c>
      <c r="AW32" s="74" t="str">
        <f t="shared" si="18"/>
        <v/>
      </c>
      <c r="AX32" s="74" t="str">
        <f t="shared" si="18"/>
        <v/>
      </c>
      <c r="AY32" s="74" t="str">
        <f t="shared" si="18"/>
        <v/>
      </c>
      <c r="AZ32" s="74" t="str">
        <f t="shared" si="18"/>
        <v/>
      </c>
      <c r="BA32" s="74" t="str">
        <f t="shared" si="18"/>
        <v/>
      </c>
      <c r="BB32" s="74" t="str">
        <f t="shared" si="18"/>
        <v/>
      </c>
      <c r="BC32" s="74" t="str">
        <f t="shared" si="18"/>
        <v/>
      </c>
      <c r="BD32" s="74" t="str">
        <f t="shared" si="18"/>
        <v/>
      </c>
      <c r="BE32" s="74" t="str">
        <f t="shared" si="18"/>
        <v/>
      </c>
      <c r="BF32" s="74" t="str">
        <f t="shared" si="18"/>
        <v/>
      </c>
      <c r="BJ32" s="74" t="str">
        <f t="shared" si="19"/>
        <v/>
      </c>
      <c r="BK32" s="74" t="str">
        <f t="shared" si="19"/>
        <v/>
      </c>
      <c r="BL32" s="74" t="str">
        <f t="shared" si="19"/>
        <v/>
      </c>
      <c r="BM32" s="74" t="str">
        <f t="shared" si="19"/>
        <v/>
      </c>
      <c r="BN32" s="74" t="str">
        <f t="shared" si="19"/>
        <v/>
      </c>
      <c r="BO32" s="74" t="str">
        <f t="shared" si="19"/>
        <v/>
      </c>
      <c r="BP32" s="74" t="str">
        <f t="shared" si="19"/>
        <v/>
      </c>
      <c r="BQ32" s="74" t="str">
        <f t="shared" si="19"/>
        <v/>
      </c>
      <c r="BR32" s="74" t="str">
        <f t="shared" si="19"/>
        <v/>
      </c>
      <c r="BS32" s="74" t="str">
        <f t="shared" si="19"/>
        <v/>
      </c>
      <c r="BT32" s="74" t="str">
        <f t="shared" si="20"/>
        <v/>
      </c>
      <c r="BU32" s="74" t="str">
        <f t="shared" si="20"/>
        <v/>
      </c>
      <c r="BV32" s="74" t="str">
        <f t="shared" si="20"/>
        <v/>
      </c>
      <c r="BW32" s="74" t="str">
        <f t="shared" si="20"/>
        <v/>
      </c>
      <c r="BX32" s="74" t="str">
        <f t="shared" si="20"/>
        <v/>
      </c>
      <c r="BY32" s="74" t="str">
        <f t="shared" si="20"/>
        <v/>
      </c>
      <c r="BZ32" s="74" t="str">
        <f t="shared" si="20"/>
        <v/>
      </c>
      <c r="CA32" s="74" t="str">
        <f t="shared" si="20"/>
        <v/>
      </c>
      <c r="CB32" s="74" t="str">
        <f t="shared" si="20"/>
        <v/>
      </c>
      <c r="CC32" s="74" t="str">
        <f t="shared" si="20"/>
        <v/>
      </c>
      <c r="CD32" s="74" t="str">
        <f t="shared" si="20"/>
        <v/>
      </c>
      <c r="CE32" s="74" t="str">
        <f t="shared" si="20"/>
        <v/>
      </c>
      <c r="CF32" s="74" t="str">
        <f t="shared" si="20"/>
        <v/>
      </c>
      <c r="CG32" s="74" t="str">
        <f t="shared" si="20"/>
        <v/>
      </c>
      <c r="CH32" s="74" t="str">
        <f t="shared" si="20"/>
        <v/>
      </c>
    </row>
    <row r="33" spans="1:86" s="74" customFormat="1" ht="22.5">
      <c r="A33" s="180">
        <f t="shared" si="8"/>
        <v>15</v>
      </c>
      <c r="B33" s="321"/>
      <c r="C33" s="321"/>
      <c r="D33" s="104"/>
      <c r="E33" s="105" t="str">
        <f>IFERROR(VLOOKUP(D33,REFERENCES!$C$2:$D$60,2,0),"Do not write in this cell !")</f>
        <v>Do not write in this cell !</v>
      </c>
      <c r="F33" s="294"/>
      <c r="G33" s="296"/>
      <c r="H33" s="294"/>
      <c r="I33" s="295"/>
      <c r="J33" s="296"/>
      <c r="K33" s="153"/>
      <c r="L33" s="294"/>
      <c r="M33" s="295"/>
      <c r="N33" s="295"/>
      <c r="O33" s="296"/>
      <c r="P33" s="300"/>
      <c r="Q33" s="301"/>
      <c r="R33" s="302"/>
      <c r="S33" s="303"/>
      <c r="T33" s="304"/>
      <c r="U33" s="247"/>
      <c r="V33" s="247"/>
      <c r="W33" s="247" t="str">
        <f t="shared" si="13"/>
        <v/>
      </c>
      <c r="X33" s="106" t="str">
        <f>IF(U33="","Do not write in this cell !",VLOOKUP(W33,Liste!$A$18:$B$42,2,FALSE))</f>
        <v>Do not write in this cell !</v>
      </c>
      <c r="Y33" s="250"/>
      <c r="Z33" s="247"/>
      <c r="AA33" s="247"/>
      <c r="AB33" s="247" t="str">
        <f t="shared" si="14"/>
        <v/>
      </c>
      <c r="AC33" s="106" t="str">
        <f>IF(Z33="","Do not write in this cell !",VLOOKUP(AB33,Liste!$A$18:$B$42,2,FALSE))</f>
        <v>Do not write in this cell !</v>
      </c>
      <c r="AD33" s="255"/>
      <c r="AE33" s="255"/>
      <c r="AG33" s="82"/>
      <c r="AH33" s="74" t="str">
        <f t="shared" si="17"/>
        <v/>
      </c>
      <c r="AI33" s="74" t="str">
        <f t="shared" si="17"/>
        <v/>
      </c>
      <c r="AJ33" s="74" t="str">
        <f t="shared" si="17"/>
        <v/>
      </c>
      <c r="AK33" s="74" t="str">
        <f t="shared" si="17"/>
        <v/>
      </c>
      <c r="AL33" s="74" t="str">
        <f t="shared" si="17"/>
        <v/>
      </c>
      <c r="AM33" s="74" t="str">
        <f t="shared" si="17"/>
        <v/>
      </c>
      <c r="AN33" s="74" t="str">
        <f t="shared" si="17"/>
        <v/>
      </c>
      <c r="AO33" s="74" t="str">
        <f t="shared" si="17"/>
        <v/>
      </c>
      <c r="AP33" s="74" t="str">
        <f t="shared" si="17"/>
        <v/>
      </c>
      <c r="AQ33" s="74" t="str">
        <f t="shared" si="17"/>
        <v/>
      </c>
      <c r="AR33" s="74" t="str">
        <f t="shared" si="18"/>
        <v/>
      </c>
      <c r="AS33" s="74" t="str">
        <f t="shared" si="18"/>
        <v/>
      </c>
      <c r="AT33" s="74" t="str">
        <f t="shared" si="18"/>
        <v/>
      </c>
      <c r="AU33" s="74" t="str">
        <f t="shared" si="18"/>
        <v/>
      </c>
      <c r="AV33" s="74" t="str">
        <f t="shared" si="18"/>
        <v/>
      </c>
      <c r="AW33" s="74" t="str">
        <f t="shared" si="18"/>
        <v/>
      </c>
      <c r="AX33" s="74" t="str">
        <f t="shared" si="18"/>
        <v/>
      </c>
      <c r="AY33" s="74" t="str">
        <f t="shared" si="18"/>
        <v/>
      </c>
      <c r="AZ33" s="74" t="str">
        <f t="shared" si="18"/>
        <v/>
      </c>
      <c r="BA33" s="74" t="str">
        <f t="shared" si="18"/>
        <v/>
      </c>
      <c r="BB33" s="74" t="str">
        <f t="shared" si="18"/>
        <v/>
      </c>
      <c r="BC33" s="74" t="str">
        <f t="shared" si="18"/>
        <v/>
      </c>
      <c r="BD33" s="74" t="str">
        <f t="shared" si="18"/>
        <v/>
      </c>
      <c r="BE33" s="74" t="str">
        <f t="shared" si="18"/>
        <v/>
      </c>
      <c r="BF33" s="74" t="str">
        <f t="shared" si="18"/>
        <v/>
      </c>
      <c r="BJ33" s="74" t="str">
        <f t="shared" si="19"/>
        <v/>
      </c>
      <c r="BK33" s="74" t="str">
        <f t="shared" si="19"/>
        <v/>
      </c>
      <c r="BL33" s="74" t="str">
        <f t="shared" si="19"/>
        <v/>
      </c>
      <c r="BM33" s="74" t="str">
        <f t="shared" si="19"/>
        <v/>
      </c>
      <c r="BN33" s="74" t="str">
        <f t="shared" si="19"/>
        <v/>
      </c>
      <c r="BO33" s="74" t="str">
        <f t="shared" si="19"/>
        <v/>
      </c>
      <c r="BP33" s="74" t="str">
        <f t="shared" si="19"/>
        <v/>
      </c>
      <c r="BQ33" s="74" t="str">
        <f t="shared" si="19"/>
        <v/>
      </c>
      <c r="BR33" s="74" t="str">
        <f t="shared" si="19"/>
        <v/>
      </c>
      <c r="BS33" s="74" t="str">
        <f t="shared" si="19"/>
        <v/>
      </c>
      <c r="BT33" s="74" t="str">
        <f t="shared" si="20"/>
        <v/>
      </c>
      <c r="BU33" s="74" t="str">
        <f t="shared" si="20"/>
        <v/>
      </c>
      <c r="BV33" s="74" t="str">
        <f t="shared" si="20"/>
        <v/>
      </c>
      <c r="BW33" s="74" t="str">
        <f t="shared" si="20"/>
        <v/>
      </c>
      <c r="BX33" s="74" t="str">
        <f t="shared" si="20"/>
        <v/>
      </c>
      <c r="BY33" s="74" t="str">
        <f t="shared" si="20"/>
        <v/>
      </c>
      <c r="BZ33" s="74" t="str">
        <f t="shared" si="20"/>
        <v/>
      </c>
      <c r="CA33" s="74" t="str">
        <f t="shared" si="20"/>
        <v/>
      </c>
      <c r="CB33" s="74" t="str">
        <f t="shared" si="20"/>
        <v/>
      </c>
      <c r="CC33" s="74" t="str">
        <f t="shared" si="20"/>
        <v/>
      </c>
      <c r="CD33" s="74" t="str">
        <f t="shared" si="20"/>
        <v/>
      </c>
      <c r="CE33" s="74" t="str">
        <f t="shared" si="20"/>
        <v/>
      </c>
      <c r="CF33" s="74" t="str">
        <f t="shared" si="20"/>
        <v/>
      </c>
      <c r="CG33" s="74" t="str">
        <f t="shared" si="20"/>
        <v/>
      </c>
      <c r="CH33" s="74" t="str">
        <f t="shared" si="20"/>
        <v/>
      </c>
    </row>
    <row r="34" spans="1:86" s="74" customFormat="1" ht="22.5">
      <c r="A34" s="180">
        <f t="shared" si="8"/>
        <v>16</v>
      </c>
      <c r="B34" s="321"/>
      <c r="C34" s="321"/>
      <c r="D34" s="104"/>
      <c r="E34" s="105" t="str">
        <f>IFERROR(VLOOKUP(D34,REFERENCES!$C$2:$D$60,2,0),"Do not write in this cell !")</f>
        <v>Do not write in this cell !</v>
      </c>
      <c r="F34" s="294"/>
      <c r="G34" s="296"/>
      <c r="H34" s="294"/>
      <c r="I34" s="295"/>
      <c r="J34" s="296"/>
      <c r="K34" s="153"/>
      <c r="L34" s="294"/>
      <c r="M34" s="295"/>
      <c r="N34" s="295"/>
      <c r="O34" s="296"/>
      <c r="P34" s="300"/>
      <c r="Q34" s="301"/>
      <c r="R34" s="302"/>
      <c r="S34" s="303"/>
      <c r="T34" s="304"/>
      <c r="U34" s="247"/>
      <c r="V34" s="247"/>
      <c r="W34" s="247" t="str">
        <f t="shared" si="13"/>
        <v/>
      </c>
      <c r="X34" s="106" t="str">
        <f>IF(U34="","Do not write in this cell !",VLOOKUP(W34,Liste!$A$18:$B$42,2,FALSE))</f>
        <v>Do not write in this cell !</v>
      </c>
      <c r="Y34" s="250"/>
      <c r="Z34" s="247"/>
      <c r="AA34" s="247"/>
      <c r="AB34" s="247" t="str">
        <f t="shared" si="14"/>
        <v/>
      </c>
      <c r="AC34" s="106" t="str">
        <f>IF(Z34="","Do not write in this cell !",VLOOKUP(AB34,Liste!$A$18:$B$42,2,FALSE))</f>
        <v>Do not write in this cell !</v>
      </c>
      <c r="AD34" s="255"/>
      <c r="AE34" s="255"/>
      <c r="AG34" s="82"/>
      <c r="AH34" s="74" t="str">
        <f t="shared" si="17"/>
        <v/>
      </c>
      <c r="AI34" s="74" t="str">
        <f t="shared" si="17"/>
        <v/>
      </c>
      <c r="AJ34" s="74" t="str">
        <f t="shared" si="17"/>
        <v/>
      </c>
      <c r="AK34" s="74" t="str">
        <f t="shared" si="17"/>
        <v/>
      </c>
      <c r="AL34" s="74" t="str">
        <f t="shared" si="17"/>
        <v/>
      </c>
      <c r="AM34" s="74" t="str">
        <f t="shared" si="17"/>
        <v/>
      </c>
      <c r="AN34" s="74" t="str">
        <f t="shared" si="17"/>
        <v/>
      </c>
      <c r="AO34" s="74" t="str">
        <f t="shared" si="17"/>
        <v/>
      </c>
      <c r="AP34" s="74" t="str">
        <f t="shared" si="17"/>
        <v/>
      </c>
      <c r="AQ34" s="74" t="str">
        <f t="shared" si="17"/>
        <v/>
      </c>
      <c r="AR34" s="74" t="str">
        <f t="shared" si="18"/>
        <v/>
      </c>
      <c r="AS34" s="74" t="str">
        <f t="shared" si="18"/>
        <v/>
      </c>
      <c r="AT34" s="74" t="str">
        <f t="shared" si="18"/>
        <v/>
      </c>
      <c r="AU34" s="74" t="str">
        <f t="shared" si="18"/>
        <v/>
      </c>
      <c r="AV34" s="74" t="str">
        <f t="shared" si="18"/>
        <v/>
      </c>
      <c r="AW34" s="74" t="str">
        <f t="shared" si="18"/>
        <v/>
      </c>
      <c r="AX34" s="74" t="str">
        <f t="shared" si="18"/>
        <v/>
      </c>
      <c r="AY34" s="74" t="str">
        <f t="shared" si="18"/>
        <v/>
      </c>
      <c r="AZ34" s="74" t="str">
        <f t="shared" si="18"/>
        <v/>
      </c>
      <c r="BA34" s="74" t="str">
        <f t="shared" si="18"/>
        <v/>
      </c>
      <c r="BB34" s="74" t="str">
        <f t="shared" si="18"/>
        <v/>
      </c>
      <c r="BC34" s="74" t="str">
        <f t="shared" si="18"/>
        <v/>
      </c>
      <c r="BD34" s="74" t="str">
        <f t="shared" si="18"/>
        <v/>
      </c>
      <c r="BE34" s="74" t="str">
        <f t="shared" si="18"/>
        <v/>
      </c>
      <c r="BF34" s="74" t="str">
        <f t="shared" si="18"/>
        <v/>
      </c>
      <c r="BJ34" s="74" t="str">
        <f t="shared" si="19"/>
        <v/>
      </c>
      <c r="BK34" s="74" t="str">
        <f t="shared" si="19"/>
        <v/>
      </c>
      <c r="BL34" s="74" t="str">
        <f t="shared" si="19"/>
        <v/>
      </c>
      <c r="BM34" s="74" t="str">
        <f t="shared" si="19"/>
        <v/>
      </c>
      <c r="BN34" s="74" t="str">
        <f t="shared" si="19"/>
        <v/>
      </c>
      <c r="BO34" s="74" t="str">
        <f t="shared" si="19"/>
        <v/>
      </c>
      <c r="BP34" s="74" t="str">
        <f t="shared" si="19"/>
        <v/>
      </c>
      <c r="BQ34" s="74" t="str">
        <f t="shared" si="19"/>
        <v/>
      </c>
      <c r="BR34" s="74" t="str">
        <f t="shared" si="19"/>
        <v/>
      </c>
      <c r="BS34" s="74" t="str">
        <f t="shared" si="19"/>
        <v/>
      </c>
      <c r="BT34" s="74" t="str">
        <f t="shared" si="20"/>
        <v/>
      </c>
      <c r="BU34" s="74" t="str">
        <f t="shared" si="20"/>
        <v/>
      </c>
      <c r="BV34" s="74" t="str">
        <f t="shared" si="20"/>
        <v/>
      </c>
      <c r="BW34" s="74" t="str">
        <f t="shared" si="20"/>
        <v/>
      </c>
      <c r="BX34" s="74" t="str">
        <f t="shared" si="20"/>
        <v/>
      </c>
      <c r="BY34" s="74" t="str">
        <f t="shared" si="20"/>
        <v/>
      </c>
      <c r="BZ34" s="74" t="str">
        <f t="shared" si="20"/>
        <v/>
      </c>
      <c r="CA34" s="74" t="str">
        <f t="shared" si="20"/>
        <v/>
      </c>
      <c r="CB34" s="74" t="str">
        <f t="shared" si="20"/>
        <v/>
      </c>
      <c r="CC34" s="74" t="str">
        <f t="shared" si="20"/>
        <v/>
      </c>
      <c r="CD34" s="74" t="str">
        <f t="shared" si="20"/>
        <v/>
      </c>
      <c r="CE34" s="74" t="str">
        <f t="shared" si="20"/>
        <v/>
      </c>
      <c r="CF34" s="74" t="str">
        <f t="shared" si="20"/>
        <v/>
      </c>
      <c r="CG34" s="74" t="str">
        <f t="shared" si="20"/>
        <v/>
      </c>
      <c r="CH34" s="74" t="str">
        <f t="shared" si="20"/>
        <v/>
      </c>
    </row>
    <row r="35" spans="1:86" s="74" customFormat="1" ht="22.5">
      <c r="A35" s="180">
        <f t="shared" si="8"/>
        <v>17</v>
      </c>
      <c r="B35" s="321"/>
      <c r="C35" s="321"/>
      <c r="D35" s="104"/>
      <c r="E35" s="105" t="str">
        <f>IFERROR(VLOOKUP(D35,REFERENCES!$C$2:$D$60,2,0),"Do not write in this cell !")</f>
        <v>Do not write in this cell !</v>
      </c>
      <c r="F35" s="294"/>
      <c r="G35" s="296"/>
      <c r="H35" s="294"/>
      <c r="I35" s="295"/>
      <c r="J35" s="296"/>
      <c r="K35" s="153"/>
      <c r="L35" s="294"/>
      <c r="M35" s="295"/>
      <c r="N35" s="295"/>
      <c r="O35" s="296"/>
      <c r="P35" s="300"/>
      <c r="Q35" s="301"/>
      <c r="R35" s="302"/>
      <c r="S35" s="303"/>
      <c r="T35" s="304"/>
      <c r="U35" s="247"/>
      <c r="V35" s="247"/>
      <c r="W35" s="247" t="str">
        <f t="shared" si="13"/>
        <v/>
      </c>
      <c r="X35" s="106" t="str">
        <f>IF(U35="","Do not write in this cell !",VLOOKUP(W35,Liste!$A$18:$B$42,2,FALSE))</f>
        <v>Do not write in this cell !</v>
      </c>
      <c r="Y35" s="250"/>
      <c r="Z35" s="247"/>
      <c r="AA35" s="247"/>
      <c r="AB35" s="247" t="str">
        <f t="shared" si="14"/>
        <v/>
      </c>
      <c r="AC35" s="106" t="str">
        <f>IF(Z35="","Do not write in this cell !",VLOOKUP(AB35,Liste!$A$18:$B$42,2,FALSE))</f>
        <v>Do not write in this cell !</v>
      </c>
      <c r="AD35" s="255"/>
      <c r="AE35" s="255"/>
      <c r="AG35" s="82"/>
      <c r="AH35" s="74" t="str">
        <f t="shared" si="17"/>
        <v/>
      </c>
      <c r="AI35" s="74" t="str">
        <f t="shared" si="17"/>
        <v/>
      </c>
      <c r="AJ35" s="74" t="str">
        <f t="shared" si="17"/>
        <v/>
      </c>
      <c r="AK35" s="74" t="str">
        <f t="shared" si="17"/>
        <v/>
      </c>
      <c r="AL35" s="74" t="str">
        <f t="shared" si="17"/>
        <v/>
      </c>
      <c r="AM35" s="74" t="str">
        <f t="shared" si="17"/>
        <v/>
      </c>
      <c r="AN35" s="74" t="str">
        <f t="shared" si="17"/>
        <v/>
      </c>
      <c r="AO35" s="74" t="str">
        <f t="shared" si="17"/>
        <v/>
      </c>
      <c r="AP35" s="74" t="str">
        <f t="shared" si="17"/>
        <v/>
      </c>
      <c r="AQ35" s="74" t="str">
        <f t="shared" si="17"/>
        <v/>
      </c>
      <c r="AR35" s="74" t="str">
        <f t="shared" si="18"/>
        <v/>
      </c>
      <c r="AS35" s="74" t="str">
        <f t="shared" si="18"/>
        <v/>
      </c>
      <c r="AT35" s="74" t="str">
        <f t="shared" si="18"/>
        <v/>
      </c>
      <c r="AU35" s="74" t="str">
        <f t="shared" si="18"/>
        <v/>
      </c>
      <c r="AV35" s="74" t="str">
        <f t="shared" si="18"/>
        <v/>
      </c>
      <c r="AW35" s="74" t="str">
        <f t="shared" si="18"/>
        <v/>
      </c>
      <c r="AX35" s="74" t="str">
        <f t="shared" si="18"/>
        <v/>
      </c>
      <c r="AY35" s="74" t="str">
        <f t="shared" si="18"/>
        <v/>
      </c>
      <c r="AZ35" s="74" t="str">
        <f t="shared" si="18"/>
        <v/>
      </c>
      <c r="BA35" s="74" t="str">
        <f t="shared" si="18"/>
        <v/>
      </c>
      <c r="BB35" s="74" t="str">
        <f t="shared" si="18"/>
        <v/>
      </c>
      <c r="BC35" s="74" t="str">
        <f t="shared" si="18"/>
        <v/>
      </c>
      <c r="BD35" s="74" t="str">
        <f t="shared" si="18"/>
        <v/>
      </c>
      <c r="BE35" s="74" t="str">
        <f t="shared" si="18"/>
        <v/>
      </c>
      <c r="BF35" s="74" t="str">
        <f t="shared" si="18"/>
        <v/>
      </c>
      <c r="BJ35" s="74" t="str">
        <f t="shared" si="19"/>
        <v/>
      </c>
      <c r="BK35" s="74" t="str">
        <f t="shared" si="19"/>
        <v/>
      </c>
      <c r="BL35" s="74" t="str">
        <f t="shared" si="19"/>
        <v/>
      </c>
      <c r="BM35" s="74" t="str">
        <f t="shared" si="19"/>
        <v/>
      </c>
      <c r="BN35" s="74" t="str">
        <f t="shared" si="19"/>
        <v/>
      </c>
      <c r="BO35" s="74" t="str">
        <f t="shared" si="19"/>
        <v/>
      </c>
      <c r="BP35" s="74" t="str">
        <f t="shared" si="19"/>
        <v/>
      </c>
      <c r="BQ35" s="74" t="str">
        <f t="shared" si="19"/>
        <v/>
      </c>
      <c r="BR35" s="74" t="str">
        <f t="shared" si="19"/>
        <v/>
      </c>
      <c r="BS35" s="74" t="str">
        <f t="shared" si="19"/>
        <v/>
      </c>
      <c r="BT35" s="74" t="str">
        <f t="shared" si="20"/>
        <v/>
      </c>
      <c r="BU35" s="74" t="str">
        <f t="shared" si="20"/>
        <v/>
      </c>
      <c r="BV35" s="74" t="str">
        <f t="shared" si="20"/>
        <v/>
      </c>
      <c r="BW35" s="74" t="str">
        <f t="shared" si="20"/>
        <v/>
      </c>
      <c r="BX35" s="74" t="str">
        <f t="shared" si="20"/>
        <v/>
      </c>
      <c r="BY35" s="74" t="str">
        <f t="shared" si="20"/>
        <v/>
      </c>
      <c r="BZ35" s="74" t="str">
        <f t="shared" si="20"/>
        <v/>
      </c>
      <c r="CA35" s="74" t="str">
        <f t="shared" si="20"/>
        <v/>
      </c>
      <c r="CB35" s="74" t="str">
        <f t="shared" si="20"/>
        <v/>
      </c>
      <c r="CC35" s="74" t="str">
        <f t="shared" si="20"/>
        <v/>
      </c>
      <c r="CD35" s="74" t="str">
        <f t="shared" si="20"/>
        <v/>
      </c>
      <c r="CE35" s="74" t="str">
        <f t="shared" si="20"/>
        <v/>
      </c>
      <c r="CF35" s="74" t="str">
        <f t="shared" si="20"/>
        <v/>
      </c>
      <c r="CG35" s="74" t="str">
        <f t="shared" si="20"/>
        <v/>
      </c>
      <c r="CH35" s="74" t="str">
        <f t="shared" si="20"/>
        <v/>
      </c>
    </row>
    <row r="36" spans="1:86" s="74" customFormat="1" ht="22.5">
      <c r="A36" s="180">
        <f t="shared" si="8"/>
        <v>18</v>
      </c>
      <c r="B36" s="321"/>
      <c r="C36" s="321"/>
      <c r="D36" s="104"/>
      <c r="E36" s="105" t="str">
        <f>IFERROR(VLOOKUP(D36,REFERENCES!$C$2:$D$60,2,0),"Do not write in this cell !")</f>
        <v>Do not write in this cell !</v>
      </c>
      <c r="F36" s="294"/>
      <c r="G36" s="296"/>
      <c r="H36" s="294"/>
      <c r="I36" s="295"/>
      <c r="J36" s="296"/>
      <c r="K36" s="153"/>
      <c r="L36" s="294"/>
      <c r="M36" s="295"/>
      <c r="N36" s="295"/>
      <c r="O36" s="296"/>
      <c r="P36" s="300"/>
      <c r="Q36" s="301"/>
      <c r="R36" s="302"/>
      <c r="S36" s="303"/>
      <c r="T36" s="304"/>
      <c r="U36" s="247"/>
      <c r="V36" s="247"/>
      <c r="W36" s="247" t="str">
        <f t="shared" si="13"/>
        <v/>
      </c>
      <c r="X36" s="106" t="str">
        <f>IF(U36="","Do not write in this cell !",VLOOKUP(W36,Liste!$A$18:$B$42,2,FALSE))</f>
        <v>Do not write in this cell !</v>
      </c>
      <c r="Y36" s="250"/>
      <c r="Z36" s="247"/>
      <c r="AA36" s="247"/>
      <c r="AB36" s="247" t="str">
        <f t="shared" si="14"/>
        <v/>
      </c>
      <c r="AC36" s="106" t="str">
        <f>IF(Z36="","Do not write in this cell !",VLOOKUP(AB36,Liste!$A$18:$B$42,2,FALSE))</f>
        <v>Do not write in this cell !</v>
      </c>
      <c r="AD36" s="255"/>
      <c r="AE36" s="255"/>
      <c r="AG36" s="82"/>
      <c r="AH36" s="74" t="str">
        <f t="shared" si="17"/>
        <v/>
      </c>
      <c r="AI36" s="74" t="str">
        <f t="shared" si="17"/>
        <v/>
      </c>
      <c r="AJ36" s="74" t="str">
        <f t="shared" si="17"/>
        <v/>
      </c>
      <c r="AK36" s="74" t="str">
        <f t="shared" si="17"/>
        <v/>
      </c>
      <c r="AL36" s="74" t="str">
        <f t="shared" si="17"/>
        <v/>
      </c>
      <c r="AM36" s="74" t="str">
        <f t="shared" si="17"/>
        <v/>
      </c>
      <c r="AN36" s="74" t="str">
        <f t="shared" si="17"/>
        <v/>
      </c>
      <c r="AO36" s="74" t="str">
        <f t="shared" si="17"/>
        <v/>
      </c>
      <c r="AP36" s="74" t="str">
        <f t="shared" si="17"/>
        <v/>
      </c>
      <c r="AQ36" s="74" t="str">
        <f t="shared" si="17"/>
        <v/>
      </c>
      <c r="AR36" s="74" t="str">
        <f t="shared" si="18"/>
        <v/>
      </c>
      <c r="AS36" s="74" t="str">
        <f t="shared" si="18"/>
        <v/>
      </c>
      <c r="AT36" s="74" t="str">
        <f t="shared" si="18"/>
        <v/>
      </c>
      <c r="AU36" s="74" t="str">
        <f t="shared" si="18"/>
        <v/>
      </c>
      <c r="AV36" s="74" t="str">
        <f t="shared" si="18"/>
        <v/>
      </c>
      <c r="AW36" s="74" t="str">
        <f t="shared" si="18"/>
        <v/>
      </c>
      <c r="AX36" s="74" t="str">
        <f t="shared" si="18"/>
        <v/>
      </c>
      <c r="AY36" s="74" t="str">
        <f t="shared" si="18"/>
        <v/>
      </c>
      <c r="AZ36" s="74" t="str">
        <f t="shared" si="18"/>
        <v/>
      </c>
      <c r="BA36" s="74" t="str">
        <f t="shared" si="18"/>
        <v/>
      </c>
      <c r="BB36" s="74" t="str">
        <f t="shared" si="18"/>
        <v/>
      </c>
      <c r="BC36" s="74" t="str">
        <f t="shared" si="18"/>
        <v/>
      </c>
      <c r="BD36" s="74" t="str">
        <f t="shared" si="18"/>
        <v/>
      </c>
      <c r="BE36" s="74" t="str">
        <f t="shared" si="18"/>
        <v/>
      </c>
      <c r="BF36" s="74" t="str">
        <f t="shared" si="18"/>
        <v/>
      </c>
      <c r="BJ36" s="74" t="str">
        <f t="shared" si="19"/>
        <v/>
      </c>
      <c r="BK36" s="74" t="str">
        <f t="shared" si="19"/>
        <v/>
      </c>
      <c r="BL36" s="74" t="str">
        <f t="shared" si="19"/>
        <v/>
      </c>
      <c r="BM36" s="74" t="str">
        <f t="shared" si="19"/>
        <v/>
      </c>
      <c r="BN36" s="74" t="str">
        <f t="shared" si="19"/>
        <v/>
      </c>
      <c r="BO36" s="74" t="str">
        <f t="shared" si="19"/>
        <v/>
      </c>
      <c r="BP36" s="74" t="str">
        <f t="shared" si="19"/>
        <v/>
      </c>
      <c r="BQ36" s="74" t="str">
        <f t="shared" si="19"/>
        <v/>
      </c>
      <c r="BR36" s="74" t="str">
        <f t="shared" si="19"/>
        <v/>
      </c>
      <c r="BS36" s="74" t="str">
        <f t="shared" si="19"/>
        <v/>
      </c>
      <c r="BT36" s="74" t="str">
        <f t="shared" si="20"/>
        <v/>
      </c>
      <c r="BU36" s="74" t="str">
        <f t="shared" si="20"/>
        <v/>
      </c>
      <c r="BV36" s="74" t="str">
        <f t="shared" si="20"/>
        <v/>
      </c>
      <c r="BW36" s="74" t="str">
        <f t="shared" si="20"/>
        <v/>
      </c>
      <c r="BX36" s="74" t="str">
        <f t="shared" si="20"/>
        <v/>
      </c>
      <c r="BY36" s="74" t="str">
        <f t="shared" si="20"/>
        <v/>
      </c>
      <c r="BZ36" s="74" t="str">
        <f t="shared" si="20"/>
        <v/>
      </c>
      <c r="CA36" s="74" t="str">
        <f t="shared" si="20"/>
        <v/>
      </c>
      <c r="CB36" s="74" t="str">
        <f t="shared" si="20"/>
        <v/>
      </c>
      <c r="CC36" s="74" t="str">
        <f t="shared" si="20"/>
        <v/>
      </c>
      <c r="CD36" s="74" t="str">
        <f t="shared" si="20"/>
        <v/>
      </c>
      <c r="CE36" s="74" t="str">
        <f t="shared" si="20"/>
        <v/>
      </c>
      <c r="CF36" s="74" t="str">
        <f t="shared" si="20"/>
        <v/>
      </c>
      <c r="CG36" s="74" t="str">
        <f t="shared" si="20"/>
        <v/>
      </c>
      <c r="CH36" s="74" t="str">
        <f t="shared" si="20"/>
        <v/>
      </c>
    </row>
    <row r="37" spans="1:86" s="74" customFormat="1" ht="22.5">
      <c r="A37" s="180">
        <f t="shared" si="8"/>
        <v>19</v>
      </c>
      <c r="B37" s="321"/>
      <c r="C37" s="321"/>
      <c r="D37" s="104"/>
      <c r="E37" s="105" t="str">
        <f>IFERROR(VLOOKUP(D37,REFERENCES!$C$2:$D$60,2,0),"Do not write in this cell !")</f>
        <v>Do not write in this cell !</v>
      </c>
      <c r="F37" s="294"/>
      <c r="G37" s="296"/>
      <c r="H37" s="294"/>
      <c r="I37" s="295"/>
      <c r="J37" s="296"/>
      <c r="K37" s="153"/>
      <c r="L37" s="294"/>
      <c r="M37" s="295"/>
      <c r="N37" s="295"/>
      <c r="O37" s="296"/>
      <c r="P37" s="300"/>
      <c r="Q37" s="301"/>
      <c r="R37" s="302"/>
      <c r="S37" s="303"/>
      <c r="T37" s="304"/>
      <c r="U37" s="247"/>
      <c r="V37" s="247"/>
      <c r="W37" s="247" t="str">
        <f t="shared" si="13"/>
        <v/>
      </c>
      <c r="X37" s="106" t="str">
        <f>IF(U37="","Do not write in this cell !",VLOOKUP(W37,Liste!$A$18:$B$42,2,FALSE))</f>
        <v>Do not write in this cell !</v>
      </c>
      <c r="Y37" s="250"/>
      <c r="Z37" s="247"/>
      <c r="AA37" s="247"/>
      <c r="AB37" s="247" t="str">
        <f t="shared" si="14"/>
        <v/>
      </c>
      <c r="AC37" s="106" t="str">
        <f>IF(Z37="","Do not write in this cell !",VLOOKUP(AB37,Liste!$A$18:$B$42,2,FALSE))</f>
        <v>Do not write in this cell !</v>
      </c>
      <c r="AD37" s="255"/>
      <c r="AE37" s="255"/>
      <c r="AG37" s="82"/>
      <c r="AH37" s="74" t="str">
        <f t="shared" si="17"/>
        <v/>
      </c>
      <c r="AI37" s="74" t="str">
        <f t="shared" si="17"/>
        <v/>
      </c>
      <c r="AJ37" s="74" t="str">
        <f t="shared" si="17"/>
        <v/>
      </c>
      <c r="AK37" s="74" t="str">
        <f t="shared" si="17"/>
        <v/>
      </c>
      <c r="AL37" s="74" t="str">
        <f t="shared" si="17"/>
        <v/>
      </c>
      <c r="AM37" s="74" t="str">
        <f t="shared" si="17"/>
        <v/>
      </c>
      <c r="AN37" s="74" t="str">
        <f t="shared" si="17"/>
        <v/>
      </c>
      <c r="AO37" s="74" t="str">
        <f t="shared" si="17"/>
        <v/>
      </c>
      <c r="AP37" s="74" t="str">
        <f t="shared" si="17"/>
        <v/>
      </c>
      <c r="AQ37" s="74" t="str">
        <f t="shared" si="17"/>
        <v/>
      </c>
      <c r="AR37" s="74" t="str">
        <f t="shared" si="18"/>
        <v/>
      </c>
      <c r="AS37" s="74" t="str">
        <f t="shared" si="18"/>
        <v/>
      </c>
      <c r="AT37" s="74" t="str">
        <f t="shared" si="18"/>
        <v/>
      </c>
      <c r="AU37" s="74" t="str">
        <f t="shared" si="18"/>
        <v/>
      </c>
      <c r="AV37" s="74" t="str">
        <f t="shared" si="18"/>
        <v/>
      </c>
      <c r="AW37" s="74" t="str">
        <f t="shared" si="18"/>
        <v/>
      </c>
      <c r="AX37" s="74" t="str">
        <f t="shared" si="18"/>
        <v/>
      </c>
      <c r="AY37" s="74" t="str">
        <f t="shared" si="18"/>
        <v/>
      </c>
      <c r="AZ37" s="74" t="str">
        <f t="shared" si="18"/>
        <v/>
      </c>
      <c r="BA37" s="74" t="str">
        <f t="shared" si="18"/>
        <v/>
      </c>
      <c r="BB37" s="74" t="str">
        <f t="shared" si="18"/>
        <v/>
      </c>
      <c r="BC37" s="74" t="str">
        <f t="shared" si="18"/>
        <v/>
      </c>
      <c r="BD37" s="74" t="str">
        <f t="shared" si="18"/>
        <v/>
      </c>
      <c r="BE37" s="74" t="str">
        <f t="shared" si="18"/>
        <v/>
      </c>
      <c r="BF37" s="74" t="str">
        <f t="shared" si="18"/>
        <v/>
      </c>
      <c r="BJ37" s="74" t="str">
        <f t="shared" si="19"/>
        <v/>
      </c>
      <c r="BK37" s="74" t="str">
        <f t="shared" si="19"/>
        <v/>
      </c>
      <c r="BL37" s="74" t="str">
        <f t="shared" si="19"/>
        <v/>
      </c>
      <c r="BM37" s="74" t="str">
        <f t="shared" si="19"/>
        <v/>
      </c>
      <c r="BN37" s="74" t="str">
        <f t="shared" si="19"/>
        <v/>
      </c>
      <c r="BO37" s="74" t="str">
        <f t="shared" si="19"/>
        <v/>
      </c>
      <c r="BP37" s="74" t="str">
        <f t="shared" si="19"/>
        <v/>
      </c>
      <c r="BQ37" s="74" t="str">
        <f t="shared" si="19"/>
        <v/>
      </c>
      <c r="BR37" s="74" t="str">
        <f t="shared" si="19"/>
        <v/>
      </c>
      <c r="BS37" s="74" t="str">
        <f t="shared" si="19"/>
        <v/>
      </c>
      <c r="BT37" s="74" t="str">
        <f t="shared" si="20"/>
        <v/>
      </c>
      <c r="BU37" s="74" t="str">
        <f t="shared" si="20"/>
        <v/>
      </c>
      <c r="BV37" s="74" t="str">
        <f t="shared" si="20"/>
        <v/>
      </c>
      <c r="BW37" s="74" t="str">
        <f t="shared" si="20"/>
        <v/>
      </c>
      <c r="BX37" s="74" t="str">
        <f t="shared" si="20"/>
        <v/>
      </c>
      <c r="BY37" s="74" t="str">
        <f t="shared" si="20"/>
        <v/>
      </c>
      <c r="BZ37" s="74" t="str">
        <f t="shared" si="20"/>
        <v/>
      </c>
      <c r="CA37" s="74" t="str">
        <f t="shared" si="20"/>
        <v/>
      </c>
      <c r="CB37" s="74" t="str">
        <f t="shared" si="20"/>
        <v/>
      </c>
      <c r="CC37" s="74" t="str">
        <f t="shared" si="20"/>
        <v/>
      </c>
      <c r="CD37" s="74" t="str">
        <f t="shared" si="20"/>
        <v/>
      </c>
      <c r="CE37" s="74" t="str">
        <f t="shared" si="20"/>
        <v/>
      </c>
      <c r="CF37" s="74" t="str">
        <f t="shared" si="20"/>
        <v/>
      </c>
      <c r="CG37" s="74" t="str">
        <f t="shared" si="20"/>
        <v/>
      </c>
      <c r="CH37" s="74" t="str">
        <f t="shared" si="20"/>
        <v/>
      </c>
    </row>
    <row r="38" spans="1:86" s="74" customFormat="1" ht="22.5">
      <c r="A38" s="180">
        <f t="shared" si="8"/>
        <v>20</v>
      </c>
      <c r="B38" s="321"/>
      <c r="C38" s="321"/>
      <c r="D38" s="104"/>
      <c r="E38" s="105" t="str">
        <f>IFERROR(VLOOKUP(D38,REFERENCES!$C$2:$D$60,2,0),"Do not write in this cell !")</f>
        <v>Do not write in this cell !</v>
      </c>
      <c r="F38" s="294"/>
      <c r="G38" s="296"/>
      <c r="H38" s="294"/>
      <c r="I38" s="295"/>
      <c r="J38" s="296"/>
      <c r="K38" s="153"/>
      <c r="L38" s="294"/>
      <c r="M38" s="295"/>
      <c r="N38" s="295"/>
      <c r="O38" s="296"/>
      <c r="P38" s="300"/>
      <c r="Q38" s="301"/>
      <c r="R38" s="302"/>
      <c r="S38" s="303"/>
      <c r="T38" s="304"/>
      <c r="U38" s="247"/>
      <c r="V38" s="247"/>
      <c r="W38" s="247" t="str">
        <f t="shared" si="13"/>
        <v/>
      </c>
      <c r="X38" s="106" t="str">
        <f>IF(U38="","Do not write in this cell !",VLOOKUP(W38,Liste!$A$18:$B$42,2,FALSE))</f>
        <v>Do not write in this cell !</v>
      </c>
      <c r="Y38" s="250"/>
      <c r="Z38" s="247"/>
      <c r="AA38" s="247"/>
      <c r="AB38" s="247" t="str">
        <f t="shared" si="14"/>
        <v/>
      </c>
      <c r="AC38" s="106" t="str">
        <f>IF(Z38="","Do not write in this cell !",VLOOKUP(AB38,Liste!$A$18:$B$42,2,FALSE))</f>
        <v>Do not write in this cell !</v>
      </c>
      <c r="AD38" s="255"/>
      <c r="AE38" s="255"/>
      <c r="AG38" s="82"/>
      <c r="AH38" s="74" t="str">
        <f t="shared" si="17"/>
        <v/>
      </c>
      <c r="AI38" s="74" t="str">
        <f t="shared" si="17"/>
        <v/>
      </c>
      <c r="AJ38" s="74" t="str">
        <f t="shared" si="17"/>
        <v/>
      </c>
      <c r="AK38" s="74" t="str">
        <f t="shared" si="17"/>
        <v/>
      </c>
      <c r="AL38" s="74" t="str">
        <f t="shared" si="17"/>
        <v/>
      </c>
      <c r="AM38" s="74" t="str">
        <f t="shared" si="17"/>
        <v/>
      </c>
      <c r="AN38" s="74" t="str">
        <f t="shared" si="17"/>
        <v/>
      </c>
      <c r="AO38" s="74" t="str">
        <f t="shared" si="17"/>
        <v/>
      </c>
      <c r="AP38" s="74" t="str">
        <f t="shared" si="17"/>
        <v/>
      </c>
      <c r="AQ38" s="74" t="str">
        <f t="shared" si="17"/>
        <v/>
      </c>
      <c r="AR38" s="74" t="str">
        <f t="shared" si="18"/>
        <v/>
      </c>
      <c r="AS38" s="74" t="str">
        <f t="shared" si="18"/>
        <v/>
      </c>
      <c r="AT38" s="74" t="str">
        <f t="shared" si="18"/>
        <v/>
      </c>
      <c r="AU38" s="74" t="str">
        <f t="shared" si="18"/>
        <v/>
      </c>
      <c r="AV38" s="74" t="str">
        <f t="shared" si="18"/>
        <v/>
      </c>
      <c r="AW38" s="74" t="str">
        <f t="shared" si="18"/>
        <v/>
      </c>
      <c r="AX38" s="74" t="str">
        <f t="shared" si="18"/>
        <v/>
      </c>
      <c r="AY38" s="74" t="str">
        <f t="shared" si="18"/>
        <v/>
      </c>
      <c r="AZ38" s="74" t="str">
        <f t="shared" si="18"/>
        <v/>
      </c>
      <c r="BA38" s="74" t="str">
        <f t="shared" si="18"/>
        <v/>
      </c>
      <c r="BB38" s="74" t="str">
        <f t="shared" si="18"/>
        <v/>
      </c>
      <c r="BC38" s="74" t="str">
        <f t="shared" si="18"/>
        <v/>
      </c>
      <c r="BD38" s="74" t="str">
        <f t="shared" si="18"/>
        <v/>
      </c>
      <c r="BE38" s="74" t="str">
        <f t="shared" si="18"/>
        <v/>
      </c>
      <c r="BF38" s="74" t="str">
        <f t="shared" si="18"/>
        <v/>
      </c>
      <c r="BJ38" s="74" t="str">
        <f t="shared" si="19"/>
        <v/>
      </c>
      <c r="BK38" s="74" t="str">
        <f t="shared" si="19"/>
        <v/>
      </c>
      <c r="BL38" s="74" t="str">
        <f t="shared" si="19"/>
        <v/>
      </c>
      <c r="BM38" s="74" t="str">
        <f t="shared" si="19"/>
        <v/>
      </c>
      <c r="BN38" s="74" t="str">
        <f t="shared" si="19"/>
        <v/>
      </c>
      <c r="BO38" s="74" t="str">
        <f t="shared" si="19"/>
        <v/>
      </c>
      <c r="BP38" s="74" t="str">
        <f t="shared" si="19"/>
        <v/>
      </c>
      <c r="BQ38" s="74" t="str">
        <f t="shared" si="19"/>
        <v/>
      </c>
      <c r="BR38" s="74" t="str">
        <f t="shared" si="19"/>
        <v/>
      </c>
      <c r="BS38" s="74" t="str">
        <f t="shared" si="19"/>
        <v/>
      </c>
      <c r="BT38" s="74" t="str">
        <f t="shared" si="20"/>
        <v/>
      </c>
      <c r="BU38" s="74" t="str">
        <f t="shared" si="20"/>
        <v/>
      </c>
      <c r="BV38" s="74" t="str">
        <f t="shared" si="20"/>
        <v/>
      </c>
      <c r="BW38" s="74" t="str">
        <f t="shared" si="20"/>
        <v/>
      </c>
      <c r="BX38" s="74" t="str">
        <f t="shared" si="20"/>
        <v/>
      </c>
      <c r="BY38" s="74" t="str">
        <f t="shared" si="20"/>
        <v/>
      </c>
      <c r="BZ38" s="74" t="str">
        <f t="shared" si="20"/>
        <v/>
      </c>
      <c r="CA38" s="74" t="str">
        <f t="shared" si="20"/>
        <v/>
      </c>
      <c r="CB38" s="74" t="str">
        <f t="shared" si="20"/>
        <v/>
      </c>
      <c r="CC38" s="74" t="str">
        <f t="shared" si="20"/>
        <v/>
      </c>
      <c r="CD38" s="74" t="str">
        <f t="shared" si="20"/>
        <v/>
      </c>
      <c r="CE38" s="74" t="str">
        <f t="shared" si="20"/>
        <v/>
      </c>
      <c r="CF38" s="74" t="str">
        <f t="shared" si="20"/>
        <v/>
      </c>
      <c r="CG38" s="74" t="str">
        <f t="shared" si="20"/>
        <v/>
      </c>
      <c r="CH38" s="74" t="str">
        <f t="shared" si="20"/>
        <v/>
      </c>
    </row>
    <row r="39" spans="1:86" s="74" customFormat="1" ht="22.5">
      <c r="A39" s="180">
        <f t="shared" si="8"/>
        <v>21</v>
      </c>
      <c r="B39" s="321"/>
      <c r="C39" s="321"/>
      <c r="D39" s="104"/>
      <c r="E39" s="105" t="str">
        <f>IFERROR(VLOOKUP(D39,REFERENCES!$C$2:$D$60,2,0),"Do not write in this cell !")</f>
        <v>Do not write in this cell !</v>
      </c>
      <c r="F39" s="294"/>
      <c r="G39" s="296"/>
      <c r="H39" s="294"/>
      <c r="I39" s="295"/>
      <c r="J39" s="296"/>
      <c r="K39" s="153"/>
      <c r="L39" s="294"/>
      <c r="M39" s="295"/>
      <c r="N39" s="295"/>
      <c r="O39" s="296"/>
      <c r="P39" s="300"/>
      <c r="Q39" s="301"/>
      <c r="R39" s="302"/>
      <c r="S39" s="303"/>
      <c r="T39" s="304"/>
      <c r="U39" s="247"/>
      <c r="V39" s="247"/>
      <c r="W39" s="247" t="str">
        <f t="shared" si="13"/>
        <v/>
      </c>
      <c r="X39" s="106" t="str">
        <f>IF(U39="","Do not write in this cell !",VLOOKUP(W39,Liste!$A$18:$B$42,2,FALSE))</f>
        <v>Do not write in this cell !</v>
      </c>
      <c r="Y39" s="250"/>
      <c r="Z39" s="247"/>
      <c r="AA39" s="247"/>
      <c r="AB39" s="247" t="str">
        <f t="shared" si="14"/>
        <v/>
      </c>
      <c r="AC39" s="106" t="str">
        <f>IF(Z39="","Do not write in this cell !",VLOOKUP(AB39,Liste!$A$18:$B$42,2,FALSE))</f>
        <v>Do not write in this cell !</v>
      </c>
      <c r="AD39" s="255"/>
      <c r="AE39" s="255"/>
      <c r="AG39" s="82"/>
      <c r="AH39" s="74" t="str">
        <f t="shared" si="17"/>
        <v/>
      </c>
      <c r="AI39" s="74" t="str">
        <f t="shared" si="17"/>
        <v/>
      </c>
      <c r="AJ39" s="74" t="str">
        <f t="shared" si="17"/>
        <v/>
      </c>
      <c r="AK39" s="74" t="str">
        <f t="shared" si="17"/>
        <v/>
      </c>
      <c r="AL39" s="74" t="str">
        <f t="shared" si="17"/>
        <v/>
      </c>
      <c r="AM39" s="74" t="str">
        <f t="shared" si="17"/>
        <v/>
      </c>
      <c r="AN39" s="74" t="str">
        <f t="shared" si="17"/>
        <v/>
      </c>
      <c r="AO39" s="74" t="str">
        <f t="shared" si="17"/>
        <v/>
      </c>
      <c r="AP39" s="74" t="str">
        <f t="shared" si="17"/>
        <v/>
      </c>
      <c r="AQ39" s="74" t="str">
        <f t="shared" si="17"/>
        <v/>
      </c>
      <c r="AR39" s="74" t="str">
        <f t="shared" si="18"/>
        <v/>
      </c>
      <c r="AS39" s="74" t="str">
        <f t="shared" si="18"/>
        <v/>
      </c>
      <c r="AT39" s="74" t="str">
        <f t="shared" si="18"/>
        <v/>
      </c>
      <c r="AU39" s="74" t="str">
        <f t="shared" si="18"/>
        <v/>
      </c>
      <c r="AV39" s="74" t="str">
        <f t="shared" si="18"/>
        <v/>
      </c>
      <c r="AW39" s="74" t="str">
        <f t="shared" si="18"/>
        <v/>
      </c>
      <c r="AX39" s="74" t="str">
        <f t="shared" si="18"/>
        <v/>
      </c>
      <c r="AY39" s="74" t="str">
        <f t="shared" si="18"/>
        <v/>
      </c>
      <c r="AZ39" s="74" t="str">
        <f t="shared" si="18"/>
        <v/>
      </c>
      <c r="BA39" s="74" t="str">
        <f t="shared" si="18"/>
        <v/>
      </c>
      <c r="BB39" s="74" t="str">
        <f t="shared" si="18"/>
        <v/>
      </c>
      <c r="BC39" s="74" t="str">
        <f t="shared" si="18"/>
        <v/>
      </c>
      <c r="BD39" s="74" t="str">
        <f t="shared" si="18"/>
        <v/>
      </c>
      <c r="BE39" s="74" t="str">
        <f t="shared" si="18"/>
        <v/>
      </c>
      <c r="BF39" s="74" t="str">
        <f t="shared" si="18"/>
        <v/>
      </c>
      <c r="BJ39" s="74" t="str">
        <f t="shared" si="19"/>
        <v/>
      </c>
      <c r="BK39" s="74" t="str">
        <f t="shared" si="19"/>
        <v/>
      </c>
      <c r="BL39" s="74" t="str">
        <f t="shared" si="19"/>
        <v/>
      </c>
      <c r="BM39" s="74" t="str">
        <f t="shared" si="19"/>
        <v/>
      </c>
      <c r="BN39" s="74" t="str">
        <f t="shared" si="19"/>
        <v/>
      </c>
      <c r="BO39" s="74" t="str">
        <f t="shared" si="19"/>
        <v/>
      </c>
      <c r="BP39" s="74" t="str">
        <f t="shared" si="19"/>
        <v/>
      </c>
      <c r="BQ39" s="74" t="str">
        <f t="shared" si="19"/>
        <v/>
      </c>
      <c r="BR39" s="74" t="str">
        <f t="shared" si="19"/>
        <v/>
      </c>
      <c r="BS39" s="74" t="str">
        <f t="shared" si="19"/>
        <v/>
      </c>
      <c r="BT39" s="74" t="str">
        <f t="shared" si="20"/>
        <v/>
      </c>
      <c r="BU39" s="74" t="str">
        <f t="shared" si="20"/>
        <v/>
      </c>
      <c r="BV39" s="74" t="str">
        <f t="shared" si="20"/>
        <v/>
      </c>
      <c r="BW39" s="74" t="str">
        <f t="shared" si="20"/>
        <v/>
      </c>
      <c r="BX39" s="74" t="str">
        <f t="shared" si="20"/>
        <v/>
      </c>
      <c r="BY39" s="74" t="str">
        <f t="shared" si="20"/>
        <v/>
      </c>
      <c r="BZ39" s="74" t="str">
        <f t="shared" si="20"/>
        <v/>
      </c>
      <c r="CA39" s="74" t="str">
        <f t="shared" si="20"/>
        <v/>
      </c>
      <c r="CB39" s="74" t="str">
        <f t="shared" si="20"/>
        <v/>
      </c>
      <c r="CC39" s="74" t="str">
        <f t="shared" si="20"/>
        <v/>
      </c>
      <c r="CD39" s="74" t="str">
        <f t="shared" si="20"/>
        <v/>
      </c>
      <c r="CE39" s="74" t="str">
        <f t="shared" si="20"/>
        <v/>
      </c>
      <c r="CF39" s="74" t="str">
        <f t="shared" si="20"/>
        <v/>
      </c>
      <c r="CG39" s="74" t="str">
        <f t="shared" si="20"/>
        <v/>
      </c>
      <c r="CH39" s="74" t="str">
        <f t="shared" si="20"/>
        <v/>
      </c>
    </row>
    <row r="40" spans="1:86" s="74" customFormat="1" ht="22.5">
      <c r="A40" s="180">
        <f t="shared" si="8"/>
        <v>22</v>
      </c>
      <c r="B40" s="321"/>
      <c r="C40" s="321"/>
      <c r="D40" s="104"/>
      <c r="E40" s="105" t="str">
        <f>IFERROR(VLOOKUP(D40,REFERENCES!$C$2:$D$60,2,0),"Do not write in this cell !")</f>
        <v>Do not write in this cell !</v>
      </c>
      <c r="F40" s="294"/>
      <c r="G40" s="296"/>
      <c r="H40" s="294"/>
      <c r="I40" s="295"/>
      <c r="J40" s="296"/>
      <c r="K40" s="153"/>
      <c r="L40" s="294"/>
      <c r="M40" s="295"/>
      <c r="N40" s="295"/>
      <c r="O40" s="296"/>
      <c r="P40" s="300"/>
      <c r="Q40" s="301"/>
      <c r="R40" s="302"/>
      <c r="S40" s="303"/>
      <c r="T40" s="304"/>
      <c r="U40" s="247"/>
      <c r="V40" s="247"/>
      <c r="W40" s="247" t="str">
        <f t="shared" si="13"/>
        <v/>
      </c>
      <c r="X40" s="106" t="str">
        <f>IF(U40="","Do not write in this cell !",VLOOKUP(W40,Liste!$A$18:$B$42,2,FALSE))</f>
        <v>Do not write in this cell !</v>
      </c>
      <c r="Y40" s="250"/>
      <c r="Z40" s="247"/>
      <c r="AA40" s="247"/>
      <c r="AB40" s="247" t="str">
        <f t="shared" si="14"/>
        <v/>
      </c>
      <c r="AC40" s="106" t="str">
        <f>IF(Z40="","Do not write in this cell !",VLOOKUP(AB40,Liste!$A$18:$B$42,2,FALSE))</f>
        <v>Do not write in this cell !</v>
      </c>
      <c r="AD40" s="255"/>
      <c r="AE40" s="255"/>
      <c r="AG40" s="82"/>
      <c r="AH40" s="74" t="str">
        <f t="shared" ref="AH40:AQ49" si="21">IF($V40&amp;$U40=AH$18,$A40,"")</f>
        <v/>
      </c>
      <c r="AI40" s="74" t="str">
        <f t="shared" si="21"/>
        <v/>
      </c>
      <c r="AJ40" s="74" t="str">
        <f t="shared" si="21"/>
        <v/>
      </c>
      <c r="AK40" s="74" t="str">
        <f t="shared" si="21"/>
        <v/>
      </c>
      <c r="AL40" s="74" t="str">
        <f t="shared" si="21"/>
        <v/>
      </c>
      <c r="AM40" s="74" t="str">
        <f t="shared" si="21"/>
        <v/>
      </c>
      <c r="AN40" s="74" t="str">
        <f t="shared" si="21"/>
        <v/>
      </c>
      <c r="AO40" s="74" t="str">
        <f t="shared" si="21"/>
        <v/>
      </c>
      <c r="AP40" s="74" t="str">
        <f t="shared" si="21"/>
        <v/>
      </c>
      <c r="AQ40" s="74" t="str">
        <f t="shared" si="21"/>
        <v/>
      </c>
      <c r="AR40" s="74" t="str">
        <f t="shared" ref="AR40:BF49" si="22">IF($V40&amp;$U40=AR$18,$A40,"")</f>
        <v/>
      </c>
      <c r="AS40" s="74" t="str">
        <f t="shared" si="22"/>
        <v/>
      </c>
      <c r="AT40" s="74" t="str">
        <f t="shared" si="22"/>
        <v/>
      </c>
      <c r="AU40" s="74" t="str">
        <f t="shared" si="22"/>
        <v/>
      </c>
      <c r="AV40" s="74" t="str">
        <f t="shared" si="22"/>
        <v/>
      </c>
      <c r="AW40" s="74" t="str">
        <f t="shared" si="22"/>
        <v/>
      </c>
      <c r="AX40" s="74" t="str">
        <f t="shared" si="22"/>
        <v/>
      </c>
      <c r="AY40" s="74" t="str">
        <f t="shared" si="22"/>
        <v/>
      </c>
      <c r="AZ40" s="74" t="str">
        <f t="shared" si="22"/>
        <v/>
      </c>
      <c r="BA40" s="74" t="str">
        <f t="shared" si="22"/>
        <v/>
      </c>
      <c r="BB40" s="74" t="str">
        <f t="shared" si="22"/>
        <v/>
      </c>
      <c r="BC40" s="74" t="str">
        <f t="shared" si="22"/>
        <v/>
      </c>
      <c r="BD40" s="74" t="str">
        <f t="shared" si="22"/>
        <v/>
      </c>
      <c r="BE40" s="74" t="str">
        <f t="shared" si="22"/>
        <v/>
      </c>
      <c r="BF40" s="74" t="str">
        <f t="shared" si="22"/>
        <v/>
      </c>
      <c r="BJ40" s="74" t="str">
        <f t="shared" ref="BJ40:BS49" si="23">IF($AA40&amp;$Z40=BJ$18,$A40,"")</f>
        <v/>
      </c>
      <c r="BK40" s="74" t="str">
        <f t="shared" si="23"/>
        <v/>
      </c>
      <c r="BL40" s="74" t="str">
        <f t="shared" si="23"/>
        <v/>
      </c>
      <c r="BM40" s="74" t="str">
        <f t="shared" si="23"/>
        <v/>
      </c>
      <c r="BN40" s="74" t="str">
        <f t="shared" si="23"/>
        <v/>
      </c>
      <c r="BO40" s="74" t="str">
        <f t="shared" si="23"/>
        <v/>
      </c>
      <c r="BP40" s="74" t="str">
        <f t="shared" si="23"/>
        <v/>
      </c>
      <c r="BQ40" s="74" t="str">
        <f t="shared" si="23"/>
        <v/>
      </c>
      <c r="BR40" s="74" t="str">
        <f t="shared" si="23"/>
        <v/>
      </c>
      <c r="BS40" s="74" t="str">
        <f t="shared" si="23"/>
        <v/>
      </c>
      <c r="BT40" s="74" t="str">
        <f t="shared" ref="BT40:CH49" si="24">IF($AA40&amp;$Z40=BT$18,$A40,"")</f>
        <v/>
      </c>
      <c r="BU40" s="74" t="str">
        <f t="shared" si="24"/>
        <v/>
      </c>
      <c r="BV40" s="74" t="str">
        <f t="shared" si="24"/>
        <v/>
      </c>
      <c r="BW40" s="74" t="str">
        <f t="shared" si="24"/>
        <v/>
      </c>
      <c r="BX40" s="74" t="str">
        <f t="shared" si="24"/>
        <v/>
      </c>
      <c r="BY40" s="74" t="str">
        <f t="shared" si="24"/>
        <v/>
      </c>
      <c r="BZ40" s="74" t="str">
        <f t="shared" si="24"/>
        <v/>
      </c>
      <c r="CA40" s="74" t="str">
        <f t="shared" si="24"/>
        <v/>
      </c>
      <c r="CB40" s="74" t="str">
        <f t="shared" si="24"/>
        <v/>
      </c>
      <c r="CC40" s="74" t="str">
        <f t="shared" si="24"/>
        <v/>
      </c>
      <c r="CD40" s="74" t="str">
        <f t="shared" si="24"/>
        <v/>
      </c>
      <c r="CE40" s="74" t="str">
        <f t="shared" si="24"/>
        <v/>
      </c>
      <c r="CF40" s="74" t="str">
        <f t="shared" si="24"/>
        <v/>
      </c>
      <c r="CG40" s="74" t="str">
        <f t="shared" si="24"/>
        <v/>
      </c>
      <c r="CH40" s="74" t="str">
        <f t="shared" si="24"/>
        <v/>
      </c>
    </row>
    <row r="41" spans="1:86" s="74" customFormat="1" ht="22.5">
      <c r="A41" s="180">
        <f t="shared" si="8"/>
        <v>23</v>
      </c>
      <c r="B41" s="321"/>
      <c r="C41" s="321"/>
      <c r="D41" s="104"/>
      <c r="E41" s="105" t="str">
        <f>IFERROR(VLOOKUP(D41,REFERENCES!$C$2:$D$60,2,0),"Do not write in this cell !")</f>
        <v>Do not write in this cell !</v>
      </c>
      <c r="F41" s="294"/>
      <c r="G41" s="296"/>
      <c r="H41" s="294"/>
      <c r="I41" s="295"/>
      <c r="J41" s="296"/>
      <c r="K41" s="153"/>
      <c r="L41" s="294"/>
      <c r="M41" s="295"/>
      <c r="N41" s="295"/>
      <c r="O41" s="296"/>
      <c r="P41" s="300"/>
      <c r="Q41" s="301"/>
      <c r="R41" s="302"/>
      <c r="S41" s="303"/>
      <c r="T41" s="304"/>
      <c r="U41" s="247"/>
      <c r="V41" s="247"/>
      <c r="W41" s="247" t="str">
        <f t="shared" si="13"/>
        <v/>
      </c>
      <c r="X41" s="106" t="str">
        <f>IF(U41="","Do not write in this cell !",VLOOKUP(W41,Liste!$A$18:$B$42,2,FALSE))</f>
        <v>Do not write in this cell !</v>
      </c>
      <c r="Y41" s="250"/>
      <c r="Z41" s="247"/>
      <c r="AA41" s="247"/>
      <c r="AB41" s="247" t="str">
        <f t="shared" si="14"/>
        <v/>
      </c>
      <c r="AC41" s="106" t="str">
        <f>IF(Z41="","Do not write in this cell !",VLOOKUP(AB41,Liste!$A$18:$B$42,2,FALSE))</f>
        <v>Do not write in this cell !</v>
      </c>
      <c r="AD41" s="255"/>
      <c r="AE41" s="255"/>
      <c r="AG41" s="82"/>
      <c r="AH41" s="74" t="str">
        <f t="shared" si="21"/>
        <v/>
      </c>
      <c r="AI41" s="74" t="str">
        <f t="shared" si="21"/>
        <v/>
      </c>
      <c r="AJ41" s="74" t="str">
        <f t="shared" si="21"/>
        <v/>
      </c>
      <c r="AK41" s="74" t="str">
        <f t="shared" si="21"/>
        <v/>
      </c>
      <c r="AL41" s="74" t="str">
        <f t="shared" si="21"/>
        <v/>
      </c>
      <c r="AM41" s="74" t="str">
        <f t="shared" si="21"/>
        <v/>
      </c>
      <c r="AN41" s="74" t="str">
        <f t="shared" si="21"/>
        <v/>
      </c>
      <c r="AO41" s="74" t="str">
        <f t="shared" si="21"/>
        <v/>
      </c>
      <c r="AP41" s="74" t="str">
        <f t="shared" si="21"/>
        <v/>
      </c>
      <c r="AQ41" s="74" t="str">
        <f t="shared" si="21"/>
        <v/>
      </c>
      <c r="AR41" s="74" t="str">
        <f t="shared" si="22"/>
        <v/>
      </c>
      <c r="AS41" s="74" t="str">
        <f t="shared" si="22"/>
        <v/>
      </c>
      <c r="AT41" s="74" t="str">
        <f t="shared" si="22"/>
        <v/>
      </c>
      <c r="AU41" s="74" t="str">
        <f t="shared" si="22"/>
        <v/>
      </c>
      <c r="AV41" s="74" t="str">
        <f t="shared" si="22"/>
        <v/>
      </c>
      <c r="AW41" s="74" t="str">
        <f t="shared" si="22"/>
        <v/>
      </c>
      <c r="AX41" s="74" t="str">
        <f t="shared" si="22"/>
        <v/>
      </c>
      <c r="AY41" s="74" t="str">
        <f t="shared" si="22"/>
        <v/>
      </c>
      <c r="AZ41" s="74" t="str">
        <f t="shared" si="22"/>
        <v/>
      </c>
      <c r="BA41" s="74" t="str">
        <f t="shared" si="22"/>
        <v/>
      </c>
      <c r="BB41" s="74" t="str">
        <f t="shared" si="22"/>
        <v/>
      </c>
      <c r="BC41" s="74" t="str">
        <f t="shared" si="22"/>
        <v/>
      </c>
      <c r="BD41" s="74" t="str">
        <f t="shared" si="22"/>
        <v/>
      </c>
      <c r="BE41" s="74" t="str">
        <f t="shared" si="22"/>
        <v/>
      </c>
      <c r="BF41" s="74" t="str">
        <f t="shared" si="22"/>
        <v/>
      </c>
      <c r="BJ41" s="74" t="str">
        <f t="shared" si="23"/>
        <v/>
      </c>
      <c r="BK41" s="74" t="str">
        <f t="shared" si="23"/>
        <v/>
      </c>
      <c r="BL41" s="74" t="str">
        <f t="shared" si="23"/>
        <v/>
      </c>
      <c r="BM41" s="74" t="str">
        <f t="shared" si="23"/>
        <v/>
      </c>
      <c r="BN41" s="74" t="str">
        <f t="shared" si="23"/>
        <v/>
      </c>
      <c r="BO41" s="74" t="str">
        <f t="shared" si="23"/>
        <v/>
      </c>
      <c r="BP41" s="74" t="str">
        <f t="shared" si="23"/>
        <v/>
      </c>
      <c r="BQ41" s="74" t="str">
        <f t="shared" si="23"/>
        <v/>
      </c>
      <c r="BR41" s="74" t="str">
        <f t="shared" si="23"/>
        <v/>
      </c>
      <c r="BS41" s="74" t="str">
        <f t="shared" si="23"/>
        <v/>
      </c>
      <c r="BT41" s="74" t="str">
        <f t="shared" si="24"/>
        <v/>
      </c>
      <c r="BU41" s="74" t="str">
        <f t="shared" si="24"/>
        <v/>
      </c>
      <c r="BV41" s="74" t="str">
        <f t="shared" si="24"/>
        <v/>
      </c>
      <c r="BW41" s="74" t="str">
        <f t="shared" si="24"/>
        <v/>
      </c>
      <c r="BX41" s="74" t="str">
        <f t="shared" si="24"/>
        <v/>
      </c>
      <c r="BY41" s="74" t="str">
        <f t="shared" si="24"/>
        <v/>
      </c>
      <c r="BZ41" s="74" t="str">
        <f t="shared" si="24"/>
        <v/>
      </c>
      <c r="CA41" s="74" t="str">
        <f t="shared" si="24"/>
        <v/>
      </c>
      <c r="CB41" s="74" t="str">
        <f t="shared" si="24"/>
        <v/>
      </c>
      <c r="CC41" s="74" t="str">
        <f t="shared" si="24"/>
        <v/>
      </c>
      <c r="CD41" s="74" t="str">
        <f t="shared" si="24"/>
        <v/>
      </c>
      <c r="CE41" s="74" t="str">
        <f t="shared" si="24"/>
        <v/>
      </c>
      <c r="CF41" s="74" t="str">
        <f t="shared" si="24"/>
        <v/>
      </c>
      <c r="CG41" s="74" t="str">
        <f t="shared" si="24"/>
        <v/>
      </c>
      <c r="CH41" s="74" t="str">
        <f t="shared" si="24"/>
        <v/>
      </c>
    </row>
    <row r="42" spans="1:86" s="74" customFormat="1" ht="22.5">
      <c r="A42" s="180">
        <f t="shared" si="8"/>
        <v>24</v>
      </c>
      <c r="B42" s="321"/>
      <c r="C42" s="321"/>
      <c r="D42" s="104"/>
      <c r="E42" s="105" t="str">
        <f>IFERROR(VLOOKUP(D42,REFERENCES!$C$2:$D$60,2,0),"Do not write in this cell !")</f>
        <v>Do not write in this cell !</v>
      </c>
      <c r="F42" s="294"/>
      <c r="G42" s="296"/>
      <c r="H42" s="294"/>
      <c r="I42" s="295"/>
      <c r="J42" s="296"/>
      <c r="K42" s="153"/>
      <c r="L42" s="294"/>
      <c r="M42" s="295"/>
      <c r="N42" s="295"/>
      <c r="O42" s="296"/>
      <c r="P42" s="300"/>
      <c r="Q42" s="301"/>
      <c r="R42" s="302"/>
      <c r="S42" s="303"/>
      <c r="T42" s="304"/>
      <c r="U42" s="247"/>
      <c r="V42" s="247"/>
      <c r="W42" s="247" t="str">
        <f t="shared" si="13"/>
        <v/>
      </c>
      <c r="X42" s="106" t="str">
        <f>IF(U42="","Do not write in this cell !",VLOOKUP(W42,Liste!$A$18:$B$42,2,FALSE))</f>
        <v>Do not write in this cell !</v>
      </c>
      <c r="Y42" s="250"/>
      <c r="Z42" s="247"/>
      <c r="AA42" s="247"/>
      <c r="AB42" s="247" t="str">
        <f t="shared" si="14"/>
        <v/>
      </c>
      <c r="AC42" s="106" t="str">
        <f>IF(Z42="","Do not write in this cell !",VLOOKUP(AB42,Liste!$A$18:$B$42,2,FALSE))</f>
        <v>Do not write in this cell !</v>
      </c>
      <c r="AD42" s="255"/>
      <c r="AE42" s="255"/>
      <c r="AG42" s="82"/>
      <c r="AH42" s="74" t="str">
        <f t="shared" si="21"/>
        <v/>
      </c>
      <c r="AI42" s="74" t="str">
        <f t="shared" si="21"/>
        <v/>
      </c>
      <c r="AJ42" s="74" t="str">
        <f t="shared" si="21"/>
        <v/>
      </c>
      <c r="AK42" s="74" t="str">
        <f t="shared" si="21"/>
        <v/>
      </c>
      <c r="AL42" s="74" t="str">
        <f t="shared" si="21"/>
        <v/>
      </c>
      <c r="AM42" s="74" t="str">
        <f t="shared" si="21"/>
        <v/>
      </c>
      <c r="AN42" s="74" t="str">
        <f t="shared" si="21"/>
        <v/>
      </c>
      <c r="AO42" s="74" t="str">
        <f t="shared" si="21"/>
        <v/>
      </c>
      <c r="AP42" s="74" t="str">
        <f t="shared" si="21"/>
        <v/>
      </c>
      <c r="AQ42" s="74" t="str">
        <f t="shared" si="21"/>
        <v/>
      </c>
      <c r="AR42" s="74" t="str">
        <f t="shared" si="22"/>
        <v/>
      </c>
      <c r="AS42" s="74" t="str">
        <f t="shared" si="22"/>
        <v/>
      </c>
      <c r="AT42" s="74" t="str">
        <f t="shared" si="22"/>
        <v/>
      </c>
      <c r="AU42" s="74" t="str">
        <f t="shared" si="22"/>
        <v/>
      </c>
      <c r="AV42" s="74" t="str">
        <f t="shared" si="22"/>
        <v/>
      </c>
      <c r="AW42" s="74" t="str">
        <f t="shared" si="22"/>
        <v/>
      </c>
      <c r="AX42" s="74" t="str">
        <f t="shared" si="22"/>
        <v/>
      </c>
      <c r="AY42" s="74" t="str">
        <f t="shared" si="22"/>
        <v/>
      </c>
      <c r="AZ42" s="74" t="str">
        <f t="shared" si="22"/>
        <v/>
      </c>
      <c r="BA42" s="74" t="str">
        <f t="shared" si="22"/>
        <v/>
      </c>
      <c r="BB42" s="74" t="str">
        <f t="shared" si="22"/>
        <v/>
      </c>
      <c r="BC42" s="74" t="str">
        <f t="shared" si="22"/>
        <v/>
      </c>
      <c r="BD42" s="74" t="str">
        <f t="shared" si="22"/>
        <v/>
      </c>
      <c r="BE42" s="74" t="str">
        <f t="shared" si="22"/>
        <v/>
      </c>
      <c r="BF42" s="74" t="str">
        <f t="shared" si="22"/>
        <v/>
      </c>
      <c r="BJ42" s="74" t="str">
        <f t="shared" si="23"/>
        <v/>
      </c>
      <c r="BK42" s="74" t="str">
        <f t="shared" si="23"/>
        <v/>
      </c>
      <c r="BL42" s="74" t="str">
        <f t="shared" si="23"/>
        <v/>
      </c>
      <c r="BM42" s="74" t="str">
        <f t="shared" si="23"/>
        <v/>
      </c>
      <c r="BN42" s="74" t="str">
        <f t="shared" si="23"/>
        <v/>
      </c>
      <c r="BO42" s="74" t="str">
        <f t="shared" si="23"/>
        <v/>
      </c>
      <c r="BP42" s="74" t="str">
        <f t="shared" si="23"/>
        <v/>
      </c>
      <c r="BQ42" s="74" t="str">
        <f t="shared" si="23"/>
        <v/>
      </c>
      <c r="BR42" s="74" t="str">
        <f t="shared" si="23"/>
        <v/>
      </c>
      <c r="BS42" s="74" t="str">
        <f t="shared" si="23"/>
        <v/>
      </c>
      <c r="BT42" s="74" t="str">
        <f t="shared" si="24"/>
        <v/>
      </c>
      <c r="BU42" s="74" t="str">
        <f t="shared" si="24"/>
        <v/>
      </c>
      <c r="BV42" s="74" t="str">
        <f t="shared" si="24"/>
        <v/>
      </c>
      <c r="BW42" s="74" t="str">
        <f t="shared" si="24"/>
        <v/>
      </c>
      <c r="BX42" s="74" t="str">
        <f t="shared" si="24"/>
        <v/>
      </c>
      <c r="BY42" s="74" t="str">
        <f t="shared" si="24"/>
        <v/>
      </c>
      <c r="BZ42" s="74" t="str">
        <f t="shared" si="24"/>
        <v/>
      </c>
      <c r="CA42" s="74" t="str">
        <f t="shared" si="24"/>
        <v/>
      </c>
      <c r="CB42" s="74" t="str">
        <f t="shared" si="24"/>
        <v/>
      </c>
      <c r="CC42" s="74" t="str">
        <f t="shared" si="24"/>
        <v/>
      </c>
      <c r="CD42" s="74" t="str">
        <f t="shared" si="24"/>
        <v/>
      </c>
      <c r="CE42" s="74" t="str">
        <f t="shared" si="24"/>
        <v/>
      </c>
      <c r="CF42" s="74" t="str">
        <f t="shared" si="24"/>
        <v/>
      </c>
      <c r="CG42" s="74" t="str">
        <f t="shared" si="24"/>
        <v/>
      </c>
      <c r="CH42" s="74" t="str">
        <f t="shared" si="24"/>
        <v/>
      </c>
    </row>
    <row r="43" spans="1:86" s="74" customFormat="1" ht="22.5">
      <c r="A43" s="180">
        <f t="shared" si="8"/>
        <v>25</v>
      </c>
      <c r="B43" s="321"/>
      <c r="C43" s="321"/>
      <c r="D43" s="104"/>
      <c r="E43" s="105" t="str">
        <f>IFERROR(VLOOKUP(D43,REFERENCES!$C$2:$D$60,2,0),"Do not write in this cell !")</f>
        <v>Do not write in this cell !</v>
      </c>
      <c r="F43" s="294"/>
      <c r="G43" s="296"/>
      <c r="H43" s="294"/>
      <c r="I43" s="295"/>
      <c r="J43" s="296"/>
      <c r="K43" s="153"/>
      <c r="L43" s="294"/>
      <c r="M43" s="295"/>
      <c r="N43" s="295"/>
      <c r="O43" s="296"/>
      <c r="P43" s="300"/>
      <c r="Q43" s="301"/>
      <c r="R43" s="302"/>
      <c r="S43" s="303"/>
      <c r="T43" s="304"/>
      <c r="U43" s="247"/>
      <c r="V43" s="247"/>
      <c r="W43" s="247" t="str">
        <f t="shared" si="13"/>
        <v/>
      </c>
      <c r="X43" s="106" t="str">
        <f>IF(U43="","Do not write in this cell !",VLOOKUP(W43,Liste!$A$18:$B$42,2,FALSE))</f>
        <v>Do not write in this cell !</v>
      </c>
      <c r="Y43" s="250"/>
      <c r="Z43" s="247"/>
      <c r="AA43" s="247"/>
      <c r="AB43" s="247" t="str">
        <f t="shared" si="14"/>
        <v/>
      </c>
      <c r="AC43" s="106" t="str">
        <f>IF(Z43="","Do not write in this cell !",VLOOKUP(AB43,Liste!$A$18:$B$42,2,FALSE))</f>
        <v>Do not write in this cell !</v>
      </c>
      <c r="AD43" s="255"/>
      <c r="AE43" s="255"/>
      <c r="AG43" s="82"/>
      <c r="AH43" s="74" t="str">
        <f t="shared" si="21"/>
        <v/>
      </c>
      <c r="AI43" s="74" t="str">
        <f t="shared" si="21"/>
        <v/>
      </c>
      <c r="AJ43" s="74" t="str">
        <f t="shared" si="21"/>
        <v/>
      </c>
      <c r="AK43" s="74" t="str">
        <f t="shared" si="21"/>
        <v/>
      </c>
      <c r="AL43" s="74" t="str">
        <f t="shared" si="21"/>
        <v/>
      </c>
      <c r="AM43" s="74" t="str">
        <f t="shared" si="21"/>
        <v/>
      </c>
      <c r="AN43" s="74" t="str">
        <f t="shared" si="21"/>
        <v/>
      </c>
      <c r="AO43" s="74" t="str">
        <f t="shared" si="21"/>
        <v/>
      </c>
      <c r="AP43" s="74" t="str">
        <f t="shared" si="21"/>
        <v/>
      </c>
      <c r="AQ43" s="74" t="str">
        <f t="shared" si="21"/>
        <v/>
      </c>
      <c r="AR43" s="74" t="str">
        <f t="shared" si="22"/>
        <v/>
      </c>
      <c r="AS43" s="74" t="str">
        <f t="shared" si="22"/>
        <v/>
      </c>
      <c r="AT43" s="74" t="str">
        <f t="shared" si="22"/>
        <v/>
      </c>
      <c r="AU43" s="74" t="str">
        <f t="shared" si="22"/>
        <v/>
      </c>
      <c r="AV43" s="74" t="str">
        <f t="shared" si="22"/>
        <v/>
      </c>
      <c r="AW43" s="74" t="str">
        <f t="shared" si="22"/>
        <v/>
      </c>
      <c r="AX43" s="74" t="str">
        <f t="shared" si="22"/>
        <v/>
      </c>
      <c r="AY43" s="74" t="str">
        <f t="shared" si="22"/>
        <v/>
      </c>
      <c r="AZ43" s="74" t="str">
        <f t="shared" si="22"/>
        <v/>
      </c>
      <c r="BA43" s="74" t="str">
        <f t="shared" si="22"/>
        <v/>
      </c>
      <c r="BB43" s="74" t="str">
        <f t="shared" si="22"/>
        <v/>
      </c>
      <c r="BC43" s="74" t="str">
        <f t="shared" si="22"/>
        <v/>
      </c>
      <c r="BD43" s="74" t="str">
        <f t="shared" si="22"/>
        <v/>
      </c>
      <c r="BE43" s="74" t="str">
        <f t="shared" si="22"/>
        <v/>
      </c>
      <c r="BF43" s="74" t="str">
        <f t="shared" si="22"/>
        <v/>
      </c>
      <c r="BJ43" s="74" t="str">
        <f t="shared" si="23"/>
        <v/>
      </c>
      <c r="BK43" s="74" t="str">
        <f t="shared" si="23"/>
        <v/>
      </c>
      <c r="BL43" s="74" t="str">
        <f t="shared" si="23"/>
        <v/>
      </c>
      <c r="BM43" s="74" t="str">
        <f t="shared" si="23"/>
        <v/>
      </c>
      <c r="BN43" s="74" t="str">
        <f t="shared" si="23"/>
        <v/>
      </c>
      <c r="BO43" s="74" t="str">
        <f t="shared" si="23"/>
        <v/>
      </c>
      <c r="BP43" s="74" t="str">
        <f t="shared" si="23"/>
        <v/>
      </c>
      <c r="BQ43" s="74" t="str">
        <f t="shared" si="23"/>
        <v/>
      </c>
      <c r="BR43" s="74" t="str">
        <f t="shared" si="23"/>
        <v/>
      </c>
      <c r="BS43" s="74" t="str">
        <f t="shared" si="23"/>
        <v/>
      </c>
      <c r="BT43" s="74" t="str">
        <f t="shared" si="24"/>
        <v/>
      </c>
      <c r="BU43" s="74" t="str">
        <f t="shared" si="24"/>
        <v/>
      </c>
      <c r="BV43" s="74" t="str">
        <f t="shared" si="24"/>
        <v/>
      </c>
      <c r="BW43" s="74" t="str">
        <f t="shared" si="24"/>
        <v/>
      </c>
      <c r="BX43" s="74" t="str">
        <f t="shared" si="24"/>
        <v/>
      </c>
      <c r="BY43" s="74" t="str">
        <f t="shared" si="24"/>
        <v/>
      </c>
      <c r="BZ43" s="74" t="str">
        <f t="shared" si="24"/>
        <v/>
      </c>
      <c r="CA43" s="74" t="str">
        <f t="shared" si="24"/>
        <v/>
      </c>
      <c r="CB43" s="74" t="str">
        <f t="shared" si="24"/>
        <v/>
      </c>
      <c r="CC43" s="74" t="str">
        <f t="shared" si="24"/>
        <v/>
      </c>
      <c r="CD43" s="74" t="str">
        <f t="shared" si="24"/>
        <v/>
      </c>
      <c r="CE43" s="74" t="str">
        <f t="shared" si="24"/>
        <v/>
      </c>
      <c r="CF43" s="74" t="str">
        <f t="shared" si="24"/>
        <v/>
      </c>
      <c r="CG43" s="74" t="str">
        <f t="shared" si="24"/>
        <v/>
      </c>
      <c r="CH43" s="74" t="str">
        <f t="shared" si="24"/>
        <v/>
      </c>
    </row>
    <row r="44" spans="1:86" s="74" customFormat="1" ht="22.5">
      <c r="A44" s="180">
        <f t="shared" si="8"/>
        <v>26</v>
      </c>
      <c r="B44" s="321"/>
      <c r="C44" s="321"/>
      <c r="D44" s="104"/>
      <c r="E44" s="105" t="str">
        <f>IFERROR(VLOOKUP(D44,REFERENCES!$C$2:$D$60,2,0),"Do not write in this cell !")</f>
        <v>Do not write in this cell !</v>
      </c>
      <c r="F44" s="294"/>
      <c r="G44" s="296"/>
      <c r="H44" s="294"/>
      <c r="I44" s="295"/>
      <c r="J44" s="296"/>
      <c r="K44" s="153"/>
      <c r="L44" s="294"/>
      <c r="M44" s="295"/>
      <c r="N44" s="295"/>
      <c r="O44" s="296"/>
      <c r="P44" s="300"/>
      <c r="Q44" s="301"/>
      <c r="R44" s="302"/>
      <c r="S44" s="303"/>
      <c r="T44" s="304"/>
      <c r="U44" s="247"/>
      <c r="V44" s="247"/>
      <c r="W44" s="247" t="str">
        <f t="shared" si="13"/>
        <v/>
      </c>
      <c r="X44" s="106" t="str">
        <f>IF(U44="","Do not write in this cell !",VLOOKUP(W44,Liste!$A$18:$B$42,2,FALSE))</f>
        <v>Do not write in this cell !</v>
      </c>
      <c r="Y44" s="250"/>
      <c r="Z44" s="247"/>
      <c r="AA44" s="247"/>
      <c r="AB44" s="247" t="str">
        <f t="shared" si="14"/>
        <v/>
      </c>
      <c r="AC44" s="106" t="str">
        <f>IF(Z44="","Do not write in this cell !",VLOOKUP(AB44,Liste!$A$18:$B$42,2,FALSE))</f>
        <v>Do not write in this cell !</v>
      </c>
      <c r="AD44" s="255"/>
      <c r="AE44" s="255"/>
      <c r="AG44" s="82"/>
      <c r="AH44" s="74" t="str">
        <f t="shared" si="21"/>
        <v/>
      </c>
      <c r="AI44" s="74" t="str">
        <f t="shared" si="21"/>
        <v/>
      </c>
      <c r="AJ44" s="74" t="str">
        <f t="shared" si="21"/>
        <v/>
      </c>
      <c r="AK44" s="74" t="str">
        <f t="shared" si="21"/>
        <v/>
      </c>
      <c r="AL44" s="74" t="str">
        <f t="shared" si="21"/>
        <v/>
      </c>
      <c r="AM44" s="74" t="str">
        <f t="shared" si="21"/>
        <v/>
      </c>
      <c r="AN44" s="74" t="str">
        <f t="shared" si="21"/>
        <v/>
      </c>
      <c r="AO44" s="74" t="str">
        <f t="shared" si="21"/>
        <v/>
      </c>
      <c r="AP44" s="74" t="str">
        <f t="shared" si="21"/>
        <v/>
      </c>
      <c r="AQ44" s="74" t="str">
        <f t="shared" si="21"/>
        <v/>
      </c>
      <c r="AR44" s="74" t="str">
        <f t="shared" si="22"/>
        <v/>
      </c>
      <c r="AS44" s="74" t="str">
        <f t="shared" si="22"/>
        <v/>
      </c>
      <c r="AT44" s="74" t="str">
        <f t="shared" si="22"/>
        <v/>
      </c>
      <c r="AU44" s="74" t="str">
        <f t="shared" si="22"/>
        <v/>
      </c>
      <c r="AV44" s="74" t="str">
        <f t="shared" si="22"/>
        <v/>
      </c>
      <c r="AW44" s="74" t="str">
        <f t="shared" si="22"/>
        <v/>
      </c>
      <c r="AX44" s="74" t="str">
        <f t="shared" si="22"/>
        <v/>
      </c>
      <c r="AY44" s="74" t="str">
        <f t="shared" si="22"/>
        <v/>
      </c>
      <c r="AZ44" s="74" t="str">
        <f t="shared" si="22"/>
        <v/>
      </c>
      <c r="BA44" s="74" t="str">
        <f t="shared" si="22"/>
        <v/>
      </c>
      <c r="BB44" s="74" t="str">
        <f t="shared" si="22"/>
        <v/>
      </c>
      <c r="BC44" s="74" t="str">
        <f t="shared" si="22"/>
        <v/>
      </c>
      <c r="BD44" s="74" t="str">
        <f t="shared" si="22"/>
        <v/>
      </c>
      <c r="BE44" s="74" t="str">
        <f t="shared" si="22"/>
        <v/>
      </c>
      <c r="BF44" s="74" t="str">
        <f t="shared" si="22"/>
        <v/>
      </c>
      <c r="BJ44" s="74" t="str">
        <f t="shared" si="23"/>
        <v/>
      </c>
      <c r="BK44" s="74" t="str">
        <f t="shared" si="23"/>
        <v/>
      </c>
      <c r="BL44" s="74" t="str">
        <f t="shared" si="23"/>
        <v/>
      </c>
      <c r="BM44" s="74" t="str">
        <f t="shared" si="23"/>
        <v/>
      </c>
      <c r="BN44" s="74" t="str">
        <f t="shared" si="23"/>
        <v/>
      </c>
      <c r="BO44" s="74" t="str">
        <f t="shared" si="23"/>
        <v/>
      </c>
      <c r="BP44" s="74" t="str">
        <f t="shared" si="23"/>
        <v/>
      </c>
      <c r="BQ44" s="74" t="str">
        <f t="shared" si="23"/>
        <v/>
      </c>
      <c r="BR44" s="74" t="str">
        <f t="shared" si="23"/>
        <v/>
      </c>
      <c r="BS44" s="74" t="str">
        <f t="shared" si="23"/>
        <v/>
      </c>
      <c r="BT44" s="74" t="str">
        <f t="shared" si="24"/>
        <v/>
      </c>
      <c r="BU44" s="74" t="str">
        <f t="shared" si="24"/>
        <v/>
      </c>
      <c r="BV44" s="74" t="str">
        <f t="shared" si="24"/>
        <v/>
      </c>
      <c r="BW44" s="74" t="str">
        <f t="shared" si="24"/>
        <v/>
      </c>
      <c r="BX44" s="74" t="str">
        <f t="shared" si="24"/>
        <v/>
      </c>
      <c r="BY44" s="74" t="str">
        <f t="shared" si="24"/>
        <v/>
      </c>
      <c r="BZ44" s="74" t="str">
        <f t="shared" si="24"/>
        <v/>
      </c>
      <c r="CA44" s="74" t="str">
        <f t="shared" si="24"/>
        <v/>
      </c>
      <c r="CB44" s="74" t="str">
        <f t="shared" si="24"/>
        <v/>
      </c>
      <c r="CC44" s="74" t="str">
        <f t="shared" si="24"/>
        <v/>
      </c>
      <c r="CD44" s="74" t="str">
        <f t="shared" si="24"/>
        <v/>
      </c>
      <c r="CE44" s="74" t="str">
        <f t="shared" si="24"/>
        <v/>
      </c>
      <c r="CF44" s="74" t="str">
        <f t="shared" si="24"/>
        <v/>
      </c>
      <c r="CG44" s="74" t="str">
        <f t="shared" si="24"/>
        <v/>
      </c>
      <c r="CH44" s="74" t="str">
        <f t="shared" si="24"/>
        <v/>
      </c>
    </row>
    <row r="45" spans="1:86" s="74" customFormat="1" ht="22.5">
      <c r="A45" s="180">
        <f t="shared" si="8"/>
        <v>27</v>
      </c>
      <c r="B45" s="321"/>
      <c r="C45" s="321"/>
      <c r="D45" s="104"/>
      <c r="E45" s="105" t="str">
        <f>IFERROR(VLOOKUP(D45,REFERENCES!$C$2:$D$60,2,0),"Do not write in this cell !")</f>
        <v>Do not write in this cell !</v>
      </c>
      <c r="F45" s="294"/>
      <c r="G45" s="296"/>
      <c r="H45" s="294"/>
      <c r="I45" s="295"/>
      <c r="J45" s="296"/>
      <c r="K45" s="153"/>
      <c r="L45" s="294"/>
      <c r="M45" s="295"/>
      <c r="N45" s="295"/>
      <c r="O45" s="296"/>
      <c r="P45" s="300"/>
      <c r="Q45" s="301"/>
      <c r="R45" s="302"/>
      <c r="S45" s="303"/>
      <c r="T45" s="304"/>
      <c r="U45" s="247"/>
      <c r="V45" s="247"/>
      <c r="W45" s="247" t="str">
        <f t="shared" si="13"/>
        <v/>
      </c>
      <c r="X45" s="106" t="str">
        <f>IF(U45="","Do not write in this cell !",VLOOKUP(W45,Liste!$A$18:$B$42,2,FALSE))</f>
        <v>Do not write in this cell !</v>
      </c>
      <c r="Y45" s="250"/>
      <c r="Z45" s="247"/>
      <c r="AA45" s="247"/>
      <c r="AB45" s="247" t="str">
        <f t="shared" si="14"/>
        <v/>
      </c>
      <c r="AC45" s="106" t="str">
        <f>IF(Z45="","Do not write in this cell !",VLOOKUP(AB45,Liste!$A$18:$B$42,2,FALSE))</f>
        <v>Do not write in this cell !</v>
      </c>
      <c r="AD45" s="255"/>
      <c r="AE45" s="255"/>
      <c r="AG45" s="82"/>
      <c r="AH45" s="74" t="str">
        <f t="shared" si="21"/>
        <v/>
      </c>
      <c r="AI45" s="74" t="str">
        <f t="shared" si="21"/>
        <v/>
      </c>
      <c r="AJ45" s="74" t="str">
        <f t="shared" si="21"/>
        <v/>
      </c>
      <c r="AK45" s="74" t="str">
        <f t="shared" si="21"/>
        <v/>
      </c>
      <c r="AL45" s="74" t="str">
        <f t="shared" si="21"/>
        <v/>
      </c>
      <c r="AM45" s="74" t="str">
        <f t="shared" si="21"/>
        <v/>
      </c>
      <c r="AN45" s="74" t="str">
        <f t="shared" si="21"/>
        <v/>
      </c>
      <c r="AO45" s="74" t="str">
        <f t="shared" si="21"/>
        <v/>
      </c>
      <c r="AP45" s="74" t="str">
        <f t="shared" si="21"/>
        <v/>
      </c>
      <c r="AQ45" s="74" t="str">
        <f t="shared" si="21"/>
        <v/>
      </c>
      <c r="AR45" s="74" t="str">
        <f t="shared" si="22"/>
        <v/>
      </c>
      <c r="AS45" s="74" t="str">
        <f t="shared" si="22"/>
        <v/>
      </c>
      <c r="AT45" s="74" t="str">
        <f t="shared" si="22"/>
        <v/>
      </c>
      <c r="AU45" s="74" t="str">
        <f t="shared" si="22"/>
        <v/>
      </c>
      <c r="AV45" s="74" t="str">
        <f t="shared" si="22"/>
        <v/>
      </c>
      <c r="AW45" s="74" t="str">
        <f t="shared" si="22"/>
        <v/>
      </c>
      <c r="AX45" s="74" t="str">
        <f t="shared" si="22"/>
        <v/>
      </c>
      <c r="AY45" s="74" t="str">
        <f t="shared" si="22"/>
        <v/>
      </c>
      <c r="AZ45" s="74" t="str">
        <f t="shared" si="22"/>
        <v/>
      </c>
      <c r="BA45" s="74" t="str">
        <f t="shared" si="22"/>
        <v/>
      </c>
      <c r="BB45" s="74" t="str">
        <f t="shared" si="22"/>
        <v/>
      </c>
      <c r="BC45" s="74" t="str">
        <f t="shared" si="22"/>
        <v/>
      </c>
      <c r="BD45" s="74" t="str">
        <f t="shared" si="22"/>
        <v/>
      </c>
      <c r="BE45" s="74" t="str">
        <f t="shared" si="22"/>
        <v/>
      </c>
      <c r="BF45" s="74" t="str">
        <f t="shared" si="22"/>
        <v/>
      </c>
      <c r="BJ45" s="74" t="str">
        <f t="shared" si="23"/>
        <v/>
      </c>
      <c r="BK45" s="74" t="str">
        <f t="shared" si="23"/>
        <v/>
      </c>
      <c r="BL45" s="74" t="str">
        <f t="shared" si="23"/>
        <v/>
      </c>
      <c r="BM45" s="74" t="str">
        <f t="shared" si="23"/>
        <v/>
      </c>
      <c r="BN45" s="74" t="str">
        <f t="shared" si="23"/>
        <v/>
      </c>
      <c r="BO45" s="74" t="str">
        <f t="shared" si="23"/>
        <v/>
      </c>
      <c r="BP45" s="74" t="str">
        <f t="shared" si="23"/>
        <v/>
      </c>
      <c r="BQ45" s="74" t="str">
        <f t="shared" si="23"/>
        <v/>
      </c>
      <c r="BR45" s="74" t="str">
        <f t="shared" si="23"/>
        <v/>
      </c>
      <c r="BS45" s="74" t="str">
        <f t="shared" si="23"/>
        <v/>
      </c>
      <c r="BT45" s="74" t="str">
        <f t="shared" si="24"/>
        <v/>
      </c>
      <c r="BU45" s="74" t="str">
        <f t="shared" si="24"/>
        <v/>
      </c>
      <c r="BV45" s="74" t="str">
        <f t="shared" si="24"/>
        <v/>
      </c>
      <c r="BW45" s="74" t="str">
        <f t="shared" si="24"/>
        <v/>
      </c>
      <c r="BX45" s="74" t="str">
        <f t="shared" si="24"/>
        <v/>
      </c>
      <c r="BY45" s="74" t="str">
        <f t="shared" si="24"/>
        <v/>
      </c>
      <c r="BZ45" s="74" t="str">
        <f t="shared" si="24"/>
        <v/>
      </c>
      <c r="CA45" s="74" t="str">
        <f t="shared" si="24"/>
        <v/>
      </c>
      <c r="CB45" s="74" t="str">
        <f t="shared" si="24"/>
        <v/>
      </c>
      <c r="CC45" s="74" t="str">
        <f t="shared" si="24"/>
        <v/>
      </c>
      <c r="CD45" s="74" t="str">
        <f t="shared" si="24"/>
        <v/>
      </c>
      <c r="CE45" s="74" t="str">
        <f t="shared" si="24"/>
        <v/>
      </c>
      <c r="CF45" s="74" t="str">
        <f t="shared" si="24"/>
        <v/>
      </c>
      <c r="CG45" s="74" t="str">
        <f t="shared" si="24"/>
        <v/>
      </c>
      <c r="CH45" s="74" t="str">
        <f t="shared" si="24"/>
        <v/>
      </c>
    </row>
    <row r="46" spans="1:86" s="74" customFormat="1" ht="22.5">
      <c r="A46" s="180">
        <f t="shared" si="8"/>
        <v>28</v>
      </c>
      <c r="B46" s="321"/>
      <c r="C46" s="321"/>
      <c r="D46" s="104"/>
      <c r="E46" s="105" t="str">
        <f>IFERROR(VLOOKUP(D46,REFERENCES!$C$2:$D$60,2,0),"Do not write in this cell !")</f>
        <v>Do not write in this cell !</v>
      </c>
      <c r="F46" s="294"/>
      <c r="G46" s="296"/>
      <c r="H46" s="294"/>
      <c r="I46" s="295"/>
      <c r="J46" s="296"/>
      <c r="K46" s="153"/>
      <c r="L46" s="294"/>
      <c r="M46" s="295"/>
      <c r="N46" s="295"/>
      <c r="O46" s="296"/>
      <c r="P46" s="300"/>
      <c r="Q46" s="301"/>
      <c r="R46" s="302"/>
      <c r="S46" s="303"/>
      <c r="T46" s="304"/>
      <c r="U46" s="247"/>
      <c r="V46" s="247"/>
      <c r="W46" s="247" t="str">
        <f t="shared" si="13"/>
        <v/>
      </c>
      <c r="X46" s="106" t="str">
        <f>IF(U46="","Do not write in this cell !",VLOOKUP(W46,Liste!$A$18:$B$42,2,FALSE))</f>
        <v>Do not write in this cell !</v>
      </c>
      <c r="Y46" s="250"/>
      <c r="Z46" s="247"/>
      <c r="AA46" s="247"/>
      <c r="AB46" s="247" t="str">
        <f t="shared" si="14"/>
        <v/>
      </c>
      <c r="AC46" s="106" t="str">
        <f>IF(Z46="","Do not write in this cell !",VLOOKUP(AB46,Liste!$A$18:$B$42,2,FALSE))</f>
        <v>Do not write in this cell !</v>
      </c>
      <c r="AD46" s="255"/>
      <c r="AE46" s="255"/>
      <c r="AG46" s="82"/>
      <c r="AH46" s="74" t="str">
        <f t="shared" si="21"/>
        <v/>
      </c>
      <c r="AI46" s="74" t="str">
        <f t="shared" si="21"/>
        <v/>
      </c>
      <c r="AJ46" s="74" t="str">
        <f t="shared" si="21"/>
        <v/>
      </c>
      <c r="AK46" s="74" t="str">
        <f t="shared" si="21"/>
        <v/>
      </c>
      <c r="AL46" s="74" t="str">
        <f t="shared" si="21"/>
        <v/>
      </c>
      <c r="AM46" s="74" t="str">
        <f t="shared" si="21"/>
        <v/>
      </c>
      <c r="AN46" s="74" t="str">
        <f t="shared" si="21"/>
        <v/>
      </c>
      <c r="AO46" s="74" t="str">
        <f t="shared" si="21"/>
        <v/>
      </c>
      <c r="AP46" s="74" t="str">
        <f t="shared" si="21"/>
        <v/>
      </c>
      <c r="AQ46" s="74" t="str">
        <f t="shared" si="21"/>
        <v/>
      </c>
      <c r="AR46" s="74" t="str">
        <f t="shared" si="22"/>
        <v/>
      </c>
      <c r="AS46" s="74" t="str">
        <f t="shared" si="22"/>
        <v/>
      </c>
      <c r="AT46" s="74" t="str">
        <f t="shared" si="22"/>
        <v/>
      </c>
      <c r="AU46" s="74" t="str">
        <f t="shared" si="22"/>
        <v/>
      </c>
      <c r="AV46" s="74" t="str">
        <f t="shared" si="22"/>
        <v/>
      </c>
      <c r="AW46" s="74" t="str">
        <f t="shared" si="22"/>
        <v/>
      </c>
      <c r="AX46" s="74" t="str">
        <f t="shared" si="22"/>
        <v/>
      </c>
      <c r="AY46" s="74" t="str">
        <f t="shared" si="22"/>
        <v/>
      </c>
      <c r="AZ46" s="74" t="str">
        <f t="shared" si="22"/>
        <v/>
      </c>
      <c r="BA46" s="74" t="str">
        <f t="shared" si="22"/>
        <v/>
      </c>
      <c r="BB46" s="74" t="str">
        <f t="shared" si="22"/>
        <v/>
      </c>
      <c r="BC46" s="74" t="str">
        <f t="shared" si="22"/>
        <v/>
      </c>
      <c r="BD46" s="74" t="str">
        <f t="shared" si="22"/>
        <v/>
      </c>
      <c r="BE46" s="74" t="str">
        <f t="shared" si="22"/>
        <v/>
      </c>
      <c r="BF46" s="74" t="str">
        <f t="shared" si="22"/>
        <v/>
      </c>
      <c r="BJ46" s="74" t="str">
        <f t="shared" si="23"/>
        <v/>
      </c>
      <c r="BK46" s="74" t="str">
        <f t="shared" si="23"/>
        <v/>
      </c>
      <c r="BL46" s="74" t="str">
        <f t="shared" si="23"/>
        <v/>
      </c>
      <c r="BM46" s="74" t="str">
        <f t="shared" si="23"/>
        <v/>
      </c>
      <c r="BN46" s="74" t="str">
        <f t="shared" si="23"/>
        <v/>
      </c>
      <c r="BO46" s="74" t="str">
        <f t="shared" si="23"/>
        <v/>
      </c>
      <c r="BP46" s="74" t="str">
        <f t="shared" si="23"/>
        <v/>
      </c>
      <c r="BQ46" s="74" t="str">
        <f t="shared" si="23"/>
        <v/>
      </c>
      <c r="BR46" s="74" t="str">
        <f t="shared" si="23"/>
        <v/>
      </c>
      <c r="BS46" s="74" t="str">
        <f t="shared" si="23"/>
        <v/>
      </c>
      <c r="BT46" s="74" t="str">
        <f t="shared" si="24"/>
        <v/>
      </c>
      <c r="BU46" s="74" t="str">
        <f t="shared" si="24"/>
        <v/>
      </c>
      <c r="BV46" s="74" t="str">
        <f t="shared" si="24"/>
        <v/>
      </c>
      <c r="BW46" s="74" t="str">
        <f t="shared" si="24"/>
        <v/>
      </c>
      <c r="BX46" s="74" t="str">
        <f t="shared" si="24"/>
        <v/>
      </c>
      <c r="BY46" s="74" t="str">
        <f t="shared" si="24"/>
        <v/>
      </c>
      <c r="BZ46" s="74" t="str">
        <f t="shared" si="24"/>
        <v/>
      </c>
      <c r="CA46" s="74" t="str">
        <f t="shared" si="24"/>
        <v/>
      </c>
      <c r="CB46" s="74" t="str">
        <f t="shared" si="24"/>
        <v/>
      </c>
      <c r="CC46" s="74" t="str">
        <f t="shared" si="24"/>
        <v/>
      </c>
      <c r="CD46" s="74" t="str">
        <f t="shared" si="24"/>
        <v/>
      </c>
      <c r="CE46" s="74" t="str">
        <f t="shared" si="24"/>
        <v/>
      </c>
      <c r="CF46" s="74" t="str">
        <f t="shared" si="24"/>
        <v/>
      </c>
      <c r="CG46" s="74" t="str">
        <f t="shared" si="24"/>
        <v/>
      </c>
      <c r="CH46" s="74" t="str">
        <f t="shared" si="24"/>
        <v/>
      </c>
    </row>
    <row r="47" spans="1:86" s="74" customFormat="1" ht="22.5">
      <c r="A47" s="180">
        <f t="shared" si="8"/>
        <v>29</v>
      </c>
      <c r="B47" s="321"/>
      <c r="C47" s="321"/>
      <c r="D47" s="104"/>
      <c r="E47" s="105" t="str">
        <f>IFERROR(VLOOKUP(D47,REFERENCES!$C$2:$D$60,2,0),"Do not write in this cell !")</f>
        <v>Do not write in this cell !</v>
      </c>
      <c r="F47" s="294"/>
      <c r="G47" s="296"/>
      <c r="H47" s="294"/>
      <c r="I47" s="295"/>
      <c r="J47" s="296"/>
      <c r="K47" s="153"/>
      <c r="L47" s="294"/>
      <c r="M47" s="295"/>
      <c r="N47" s="295"/>
      <c r="O47" s="296"/>
      <c r="P47" s="300"/>
      <c r="Q47" s="301"/>
      <c r="R47" s="302"/>
      <c r="S47" s="303"/>
      <c r="T47" s="304"/>
      <c r="U47" s="247"/>
      <c r="V47" s="247"/>
      <c r="W47" s="247" t="str">
        <f t="shared" si="13"/>
        <v/>
      </c>
      <c r="X47" s="106" t="str">
        <f>IF(U47="","Do not write in this cell !",VLOOKUP(W47,Liste!$A$18:$B$42,2,FALSE))</f>
        <v>Do not write in this cell !</v>
      </c>
      <c r="Y47" s="250"/>
      <c r="Z47" s="247"/>
      <c r="AA47" s="247"/>
      <c r="AB47" s="247" t="str">
        <f t="shared" si="14"/>
        <v/>
      </c>
      <c r="AC47" s="106" t="str">
        <f>IF(Z47="","Do not write in this cell !",VLOOKUP(AB47,Liste!$A$18:$B$42,2,FALSE))</f>
        <v>Do not write in this cell !</v>
      </c>
      <c r="AD47" s="255"/>
      <c r="AE47" s="255"/>
      <c r="AG47" s="82"/>
      <c r="AH47" s="74" t="str">
        <f t="shared" si="21"/>
        <v/>
      </c>
      <c r="AI47" s="74" t="str">
        <f t="shared" si="21"/>
        <v/>
      </c>
      <c r="AJ47" s="74" t="str">
        <f t="shared" si="21"/>
        <v/>
      </c>
      <c r="AK47" s="74" t="str">
        <f t="shared" si="21"/>
        <v/>
      </c>
      <c r="AL47" s="74" t="str">
        <f t="shared" si="21"/>
        <v/>
      </c>
      <c r="AM47" s="74" t="str">
        <f t="shared" si="21"/>
        <v/>
      </c>
      <c r="AN47" s="74" t="str">
        <f t="shared" si="21"/>
        <v/>
      </c>
      <c r="AO47" s="74" t="str">
        <f t="shared" si="21"/>
        <v/>
      </c>
      <c r="AP47" s="74" t="str">
        <f t="shared" si="21"/>
        <v/>
      </c>
      <c r="AQ47" s="74" t="str">
        <f t="shared" si="21"/>
        <v/>
      </c>
      <c r="AR47" s="74" t="str">
        <f t="shared" si="22"/>
        <v/>
      </c>
      <c r="AS47" s="74" t="str">
        <f t="shared" si="22"/>
        <v/>
      </c>
      <c r="AT47" s="74" t="str">
        <f t="shared" si="22"/>
        <v/>
      </c>
      <c r="AU47" s="74" t="str">
        <f t="shared" si="22"/>
        <v/>
      </c>
      <c r="AV47" s="74" t="str">
        <f t="shared" si="22"/>
        <v/>
      </c>
      <c r="AW47" s="74" t="str">
        <f t="shared" si="22"/>
        <v/>
      </c>
      <c r="AX47" s="74" t="str">
        <f t="shared" si="22"/>
        <v/>
      </c>
      <c r="AY47" s="74" t="str">
        <f t="shared" si="22"/>
        <v/>
      </c>
      <c r="AZ47" s="74" t="str">
        <f t="shared" si="22"/>
        <v/>
      </c>
      <c r="BA47" s="74" t="str">
        <f t="shared" si="22"/>
        <v/>
      </c>
      <c r="BB47" s="74" t="str">
        <f t="shared" si="22"/>
        <v/>
      </c>
      <c r="BC47" s="74" t="str">
        <f t="shared" si="22"/>
        <v/>
      </c>
      <c r="BD47" s="74" t="str">
        <f t="shared" si="22"/>
        <v/>
      </c>
      <c r="BE47" s="74" t="str">
        <f t="shared" si="22"/>
        <v/>
      </c>
      <c r="BF47" s="74" t="str">
        <f t="shared" si="22"/>
        <v/>
      </c>
      <c r="BJ47" s="74" t="str">
        <f t="shared" si="23"/>
        <v/>
      </c>
      <c r="BK47" s="74" t="str">
        <f t="shared" si="23"/>
        <v/>
      </c>
      <c r="BL47" s="74" t="str">
        <f t="shared" si="23"/>
        <v/>
      </c>
      <c r="BM47" s="74" t="str">
        <f t="shared" si="23"/>
        <v/>
      </c>
      <c r="BN47" s="74" t="str">
        <f t="shared" si="23"/>
        <v/>
      </c>
      <c r="BO47" s="74" t="str">
        <f t="shared" si="23"/>
        <v/>
      </c>
      <c r="BP47" s="74" t="str">
        <f t="shared" si="23"/>
        <v/>
      </c>
      <c r="BQ47" s="74" t="str">
        <f t="shared" si="23"/>
        <v/>
      </c>
      <c r="BR47" s="74" t="str">
        <f t="shared" si="23"/>
        <v/>
      </c>
      <c r="BS47" s="74" t="str">
        <f t="shared" si="23"/>
        <v/>
      </c>
      <c r="BT47" s="74" t="str">
        <f t="shared" si="24"/>
        <v/>
      </c>
      <c r="BU47" s="74" t="str">
        <f t="shared" si="24"/>
        <v/>
      </c>
      <c r="BV47" s="74" t="str">
        <f t="shared" si="24"/>
        <v/>
      </c>
      <c r="BW47" s="74" t="str">
        <f t="shared" si="24"/>
        <v/>
      </c>
      <c r="BX47" s="74" t="str">
        <f t="shared" si="24"/>
        <v/>
      </c>
      <c r="BY47" s="74" t="str">
        <f t="shared" si="24"/>
        <v/>
      </c>
      <c r="BZ47" s="74" t="str">
        <f t="shared" si="24"/>
        <v/>
      </c>
      <c r="CA47" s="74" t="str">
        <f t="shared" si="24"/>
        <v/>
      </c>
      <c r="CB47" s="74" t="str">
        <f t="shared" si="24"/>
        <v/>
      </c>
      <c r="CC47" s="74" t="str">
        <f t="shared" si="24"/>
        <v/>
      </c>
      <c r="CD47" s="74" t="str">
        <f t="shared" si="24"/>
        <v/>
      </c>
      <c r="CE47" s="74" t="str">
        <f t="shared" si="24"/>
        <v/>
      </c>
      <c r="CF47" s="74" t="str">
        <f t="shared" si="24"/>
        <v/>
      </c>
      <c r="CG47" s="74" t="str">
        <f t="shared" si="24"/>
        <v/>
      </c>
      <c r="CH47" s="74" t="str">
        <f t="shared" si="24"/>
        <v/>
      </c>
    </row>
    <row r="48" spans="1:86" s="74" customFormat="1" ht="22.5">
      <c r="A48" s="180">
        <f t="shared" si="8"/>
        <v>30</v>
      </c>
      <c r="B48" s="321"/>
      <c r="C48" s="321"/>
      <c r="D48" s="104"/>
      <c r="E48" s="105" t="str">
        <f>IFERROR(VLOOKUP(D48,REFERENCES!$C$2:$D$60,2,0),"Do not write in this cell !")</f>
        <v>Do not write in this cell !</v>
      </c>
      <c r="F48" s="294"/>
      <c r="G48" s="296"/>
      <c r="H48" s="294"/>
      <c r="I48" s="295"/>
      <c r="J48" s="296"/>
      <c r="K48" s="153"/>
      <c r="L48" s="294"/>
      <c r="M48" s="295"/>
      <c r="N48" s="295"/>
      <c r="O48" s="296"/>
      <c r="P48" s="300"/>
      <c r="Q48" s="301"/>
      <c r="R48" s="302"/>
      <c r="S48" s="303"/>
      <c r="T48" s="304"/>
      <c r="U48" s="247"/>
      <c r="V48" s="247"/>
      <c r="W48" s="247" t="str">
        <f t="shared" si="13"/>
        <v/>
      </c>
      <c r="X48" s="106" t="str">
        <f>IF(U48="","Do not write in this cell !",VLOOKUP(W48,Liste!$A$18:$B$42,2,FALSE))</f>
        <v>Do not write in this cell !</v>
      </c>
      <c r="Y48" s="250"/>
      <c r="Z48" s="247"/>
      <c r="AA48" s="247"/>
      <c r="AB48" s="247" t="str">
        <f t="shared" si="14"/>
        <v/>
      </c>
      <c r="AC48" s="106" t="str">
        <f>IF(Z48="","Do not write in this cell !",VLOOKUP(AB48,Liste!$A$18:$B$42,2,FALSE))</f>
        <v>Do not write in this cell !</v>
      </c>
      <c r="AD48" s="255"/>
      <c r="AE48" s="255"/>
      <c r="AG48" s="82"/>
      <c r="AH48" s="74" t="str">
        <f t="shared" si="21"/>
        <v/>
      </c>
      <c r="AI48" s="74" t="str">
        <f t="shared" si="21"/>
        <v/>
      </c>
      <c r="AJ48" s="74" t="str">
        <f t="shared" si="21"/>
        <v/>
      </c>
      <c r="AK48" s="74" t="str">
        <f t="shared" si="21"/>
        <v/>
      </c>
      <c r="AL48" s="74" t="str">
        <f t="shared" si="21"/>
        <v/>
      </c>
      <c r="AM48" s="74" t="str">
        <f t="shared" si="21"/>
        <v/>
      </c>
      <c r="AN48" s="74" t="str">
        <f t="shared" si="21"/>
        <v/>
      </c>
      <c r="AO48" s="74" t="str">
        <f t="shared" si="21"/>
        <v/>
      </c>
      <c r="AP48" s="74" t="str">
        <f t="shared" si="21"/>
        <v/>
      </c>
      <c r="AQ48" s="74" t="str">
        <f t="shared" si="21"/>
        <v/>
      </c>
      <c r="AR48" s="74" t="str">
        <f t="shared" si="22"/>
        <v/>
      </c>
      <c r="AS48" s="74" t="str">
        <f t="shared" si="22"/>
        <v/>
      </c>
      <c r="AT48" s="74" t="str">
        <f t="shared" si="22"/>
        <v/>
      </c>
      <c r="AU48" s="74" t="str">
        <f t="shared" si="22"/>
        <v/>
      </c>
      <c r="AV48" s="74" t="str">
        <f t="shared" si="22"/>
        <v/>
      </c>
      <c r="AW48" s="74" t="str">
        <f t="shared" si="22"/>
        <v/>
      </c>
      <c r="AX48" s="74" t="str">
        <f t="shared" si="22"/>
        <v/>
      </c>
      <c r="AY48" s="74" t="str">
        <f t="shared" si="22"/>
        <v/>
      </c>
      <c r="AZ48" s="74" t="str">
        <f t="shared" si="22"/>
        <v/>
      </c>
      <c r="BA48" s="74" t="str">
        <f t="shared" si="22"/>
        <v/>
      </c>
      <c r="BB48" s="74" t="str">
        <f t="shared" si="22"/>
        <v/>
      </c>
      <c r="BC48" s="74" t="str">
        <f t="shared" si="22"/>
        <v/>
      </c>
      <c r="BD48" s="74" t="str">
        <f t="shared" si="22"/>
        <v/>
      </c>
      <c r="BE48" s="74" t="str">
        <f t="shared" si="22"/>
        <v/>
      </c>
      <c r="BF48" s="74" t="str">
        <f t="shared" si="22"/>
        <v/>
      </c>
      <c r="BJ48" s="74" t="str">
        <f t="shared" si="23"/>
        <v/>
      </c>
      <c r="BK48" s="74" t="str">
        <f t="shared" si="23"/>
        <v/>
      </c>
      <c r="BL48" s="74" t="str">
        <f t="shared" si="23"/>
        <v/>
      </c>
      <c r="BM48" s="74" t="str">
        <f t="shared" si="23"/>
        <v/>
      </c>
      <c r="BN48" s="74" t="str">
        <f t="shared" si="23"/>
        <v/>
      </c>
      <c r="BO48" s="74" t="str">
        <f t="shared" si="23"/>
        <v/>
      </c>
      <c r="BP48" s="74" t="str">
        <f t="shared" si="23"/>
        <v/>
      </c>
      <c r="BQ48" s="74" t="str">
        <f t="shared" si="23"/>
        <v/>
      </c>
      <c r="BR48" s="74" t="str">
        <f t="shared" si="23"/>
        <v/>
      </c>
      <c r="BS48" s="74" t="str">
        <f t="shared" si="23"/>
        <v/>
      </c>
      <c r="BT48" s="74" t="str">
        <f t="shared" si="24"/>
        <v/>
      </c>
      <c r="BU48" s="74" t="str">
        <f t="shared" si="24"/>
        <v/>
      </c>
      <c r="BV48" s="74" t="str">
        <f t="shared" si="24"/>
        <v/>
      </c>
      <c r="BW48" s="74" t="str">
        <f t="shared" si="24"/>
        <v/>
      </c>
      <c r="BX48" s="74" t="str">
        <f t="shared" si="24"/>
        <v/>
      </c>
      <c r="BY48" s="74" t="str">
        <f t="shared" si="24"/>
        <v/>
      </c>
      <c r="BZ48" s="74" t="str">
        <f t="shared" si="24"/>
        <v/>
      </c>
      <c r="CA48" s="74" t="str">
        <f t="shared" si="24"/>
        <v/>
      </c>
      <c r="CB48" s="74" t="str">
        <f t="shared" si="24"/>
        <v/>
      </c>
      <c r="CC48" s="74" t="str">
        <f t="shared" si="24"/>
        <v/>
      </c>
      <c r="CD48" s="74" t="str">
        <f t="shared" si="24"/>
        <v/>
      </c>
      <c r="CE48" s="74" t="str">
        <f t="shared" si="24"/>
        <v/>
      </c>
      <c r="CF48" s="74" t="str">
        <f t="shared" si="24"/>
        <v/>
      </c>
      <c r="CG48" s="74" t="str">
        <f t="shared" si="24"/>
        <v/>
      </c>
      <c r="CH48" s="74" t="str">
        <f t="shared" si="24"/>
        <v/>
      </c>
    </row>
    <row r="49" spans="1:86" s="74" customFormat="1" ht="22.5">
      <c r="A49" s="180">
        <f t="shared" si="8"/>
        <v>31</v>
      </c>
      <c r="B49" s="321"/>
      <c r="C49" s="321"/>
      <c r="D49" s="104"/>
      <c r="E49" s="105" t="str">
        <f>IFERROR(VLOOKUP(D49,REFERENCES!$C$2:$D$60,2,0),"Do not write in this cell !")</f>
        <v>Do not write in this cell !</v>
      </c>
      <c r="F49" s="294"/>
      <c r="G49" s="296"/>
      <c r="H49" s="294"/>
      <c r="I49" s="295"/>
      <c r="J49" s="296"/>
      <c r="K49" s="153"/>
      <c r="L49" s="294"/>
      <c r="M49" s="295"/>
      <c r="N49" s="295"/>
      <c r="O49" s="296"/>
      <c r="P49" s="300"/>
      <c r="Q49" s="301"/>
      <c r="R49" s="302"/>
      <c r="S49" s="303"/>
      <c r="T49" s="304"/>
      <c r="U49" s="247"/>
      <c r="V49" s="247"/>
      <c r="W49" s="247" t="str">
        <f t="shared" si="13"/>
        <v/>
      </c>
      <c r="X49" s="106" t="str">
        <f>IF(U49="","Do not write in this cell !",VLOOKUP(W49,Liste!$A$18:$B$42,2,FALSE))</f>
        <v>Do not write in this cell !</v>
      </c>
      <c r="Y49" s="250"/>
      <c r="Z49" s="247"/>
      <c r="AA49" s="247"/>
      <c r="AB49" s="247" t="str">
        <f t="shared" si="14"/>
        <v/>
      </c>
      <c r="AC49" s="106" t="str">
        <f>IF(Z49="","Do not write in this cell !",VLOOKUP(AB49,Liste!$A$18:$B$42,2,FALSE))</f>
        <v>Do not write in this cell !</v>
      </c>
      <c r="AD49" s="255"/>
      <c r="AE49" s="255"/>
      <c r="AG49" s="82"/>
      <c r="AH49" s="74" t="str">
        <f t="shared" si="21"/>
        <v/>
      </c>
      <c r="AI49" s="74" t="str">
        <f t="shared" si="21"/>
        <v/>
      </c>
      <c r="AJ49" s="74" t="str">
        <f t="shared" si="21"/>
        <v/>
      </c>
      <c r="AK49" s="74" t="str">
        <f t="shared" si="21"/>
        <v/>
      </c>
      <c r="AL49" s="74" t="str">
        <f t="shared" si="21"/>
        <v/>
      </c>
      <c r="AM49" s="74" t="str">
        <f t="shared" si="21"/>
        <v/>
      </c>
      <c r="AN49" s="74" t="str">
        <f t="shared" si="21"/>
        <v/>
      </c>
      <c r="AO49" s="74" t="str">
        <f t="shared" si="21"/>
        <v/>
      </c>
      <c r="AP49" s="74" t="str">
        <f t="shared" si="21"/>
        <v/>
      </c>
      <c r="AQ49" s="74" t="str">
        <f t="shared" si="21"/>
        <v/>
      </c>
      <c r="AR49" s="74" t="str">
        <f t="shared" si="22"/>
        <v/>
      </c>
      <c r="AS49" s="74" t="str">
        <f t="shared" si="22"/>
        <v/>
      </c>
      <c r="AT49" s="74" t="str">
        <f t="shared" si="22"/>
        <v/>
      </c>
      <c r="AU49" s="74" t="str">
        <f t="shared" si="22"/>
        <v/>
      </c>
      <c r="AV49" s="74" t="str">
        <f t="shared" si="22"/>
        <v/>
      </c>
      <c r="AW49" s="74" t="str">
        <f t="shared" si="22"/>
        <v/>
      </c>
      <c r="AX49" s="74" t="str">
        <f t="shared" si="22"/>
        <v/>
      </c>
      <c r="AY49" s="74" t="str">
        <f t="shared" si="22"/>
        <v/>
      </c>
      <c r="AZ49" s="74" t="str">
        <f t="shared" si="22"/>
        <v/>
      </c>
      <c r="BA49" s="74" t="str">
        <f t="shared" si="22"/>
        <v/>
      </c>
      <c r="BB49" s="74" t="str">
        <f t="shared" si="22"/>
        <v/>
      </c>
      <c r="BC49" s="74" t="str">
        <f t="shared" si="22"/>
        <v/>
      </c>
      <c r="BD49" s="74" t="str">
        <f t="shared" si="22"/>
        <v/>
      </c>
      <c r="BE49" s="74" t="str">
        <f t="shared" si="22"/>
        <v/>
      </c>
      <c r="BF49" s="74" t="str">
        <f t="shared" si="22"/>
        <v/>
      </c>
      <c r="BJ49" s="74" t="str">
        <f t="shared" si="23"/>
        <v/>
      </c>
      <c r="BK49" s="74" t="str">
        <f t="shared" si="23"/>
        <v/>
      </c>
      <c r="BL49" s="74" t="str">
        <f t="shared" si="23"/>
        <v/>
      </c>
      <c r="BM49" s="74" t="str">
        <f t="shared" si="23"/>
        <v/>
      </c>
      <c r="BN49" s="74" t="str">
        <f t="shared" si="23"/>
        <v/>
      </c>
      <c r="BO49" s="74" t="str">
        <f t="shared" si="23"/>
        <v/>
      </c>
      <c r="BP49" s="74" t="str">
        <f t="shared" si="23"/>
        <v/>
      </c>
      <c r="BQ49" s="74" t="str">
        <f t="shared" si="23"/>
        <v/>
      </c>
      <c r="BR49" s="74" t="str">
        <f t="shared" si="23"/>
        <v/>
      </c>
      <c r="BS49" s="74" t="str">
        <f t="shared" si="23"/>
        <v/>
      </c>
      <c r="BT49" s="74" t="str">
        <f t="shared" si="24"/>
        <v/>
      </c>
      <c r="BU49" s="74" t="str">
        <f t="shared" si="24"/>
        <v/>
      </c>
      <c r="BV49" s="74" t="str">
        <f t="shared" si="24"/>
        <v/>
      </c>
      <c r="BW49" s="74" t="str">
        <f t="shared" si="24"/>
        <v/>
      </c>
      <c r="BX49" s="74" t="str">
        <f t="shared" si="24"/>
        <v/>
      </c>
      <c r="BY49" s="74" t="str">
        <f t="shared" si="24"/>
        <v/>
      </c>
      <c r="BZ49" s="74" t="str">
        <f t="shared" si="24"/>
        <v/>
      </c>
      <c r="CA49" s="74" t="str">
        <f t="shared" si="24"/>
        <v/>
      </c>
      <c r="CB49" s="74" t="str">
        <f t="shared" si="24"/>
        <v/>
      </c>
      <c r="CC49" s="74" t="str">
        <f t="shared" si="24"/>
        <v/>
      </c>
      <c r="CD49" s="74" t="str">
        <f t="shared" si="24"/>
        <v/>
      </c>
      <c r="CE49" s="74" t="str">
        <f t="shared" si="24"/>
        <v/>
      </c>
      <c r="CF49" s="74" t="str">
        <f t="shared" si="24"/>
        <v/>
      </c>
      <c r="CG49" s="74" t="str">
        <f t="shared" si="24"/>
        <v/>
      </c>
      <c r="CH49" s="74" t="str">
        <f t="shared" si="24"/>
        <v/>
      </c>
    </row>
    <row r="50" spans="1:86" s="74" customFormat="1" ht="22.5">
      <c r="A50" s="180">
        <f t="shared" si="8"/>
        <v>32</v>
      </c>
      <c r="B50" s="321"/>
      <c r="C50" s="321"/>
      <c r="D50" s="104"/>
      <c r="E50" s="105" t="str">
        <f>IFERROR(VLOOKUP(D50,REFERENCES!$C$2:$D$60,2,0),"Do not write in this cell !")</f>
        <v>Do not write in this cell !</v>
      </c>
      <c r="F50" s="294"/>
      <c r="G50" s="296"/>
      <c r="H50" s="294"/>
      <c r="I50" s="295"/>
      <c r="J50" s="296"/>
      <c r="K50" s="153"/>
      <c r="L50" s="294"/>
      <c r="M50" s="295"/>
      <c r="N50" s="295"/>
      <c r="O50" s="296"/>
      <c r="P50" s="300"/>
      <c r="Q50" s="301"/>
      <c r="R50" s="302"/>
      <c r="S50" s="303"/>
      <c r="T50" s="304"/>
      <c r="U50" s="247"/>
      <c r="V50" s="247"/>
      <c r="W50" s="247" t="str">
        <f t="shared" si="13"/>
        <v/>
      </c>
      <c r="X50" s="106" t="str">
        <f>IF(U50="","Do not write in this cell !",VLOOKUP(W50,Liste!$A$18:$B$42,2,FALSE))</f>
        <v>Do not write in this cell !</v>
      </c>
      <c r="Y50" s="250"/>
      <c r="Z50" s="247"/>
      <c r="AA50" s="247"/>
      <c r="AB50" s="247" t="str">
        <f t="shared" si="14"/>
        <v/>
      </c>
      <c r="AC50" s="106" t="str">
        <f>IF(Z50="","Do not write in this cell !",VLOOKUP(AB50,Liste!$A$18:$B$42,2,FALSE))</f>
        <v>Do not write in this cell !</v>
      </c>
      <c r="AD50" s="255"/>
      <c r="AE50" s="255"/>
      <c r="AG50" s="82"/>
      <c r="AH50" s="74" t="str">
        <f t="shared" ref="AH50:AQ59" si="25">IF($V50&amp;$U50=AH$18,$A50,"")</f>
        <v/>
      </c>
      <c r="AI50" s="74" t="str">
        <f t="shared" si="25"/>
        <v/>
      </c>
      <c r="AJ50" s="74" t="str">
        <f t="shared" si="25"/>
        <v/>
      </c>
      <c r="AK50" s="74" t="str">
        <f t="shared" si="25"/>
        <v/>
      </c>
      <c r="AL50" s="74" t="str">
        <f t="shared" si="25"/>
        <v/>
      </c>
      <c r="AM50" s="74" t="str">
        <f t="shared" si="25"/>
        <v/>
      </c>
      <c r="AN50" s="74" t="str">
        <f t="shared" si="25"/>
        <v/>
      </c>
      <c r="AO50" s="74" t="str">
        <f t="shared" si="25"/>
        <v/>
      </c>
      <c r="AP50" s="74" t="str">
        <f t="shared" si="25"/>
        <v/>
      </c>
      <c r="AQ50" s="74" t="str">
        <f t="shared" si="25"/>
        <v/>
      </c>
      <c r="AR50" s="74" t="str">
        <f t="shared" ref="AR50:BF59" si="26">IF($V50&amp;$U50=AR$18,$A50,"")</f>
        <v/>
      </c>
      <c r="AS50" s="74" t="str">
        <f t="shared" si="26"/>
        <v/>
      </c>
      <c r="AT50" s="74" t="str">
        <f t="shared" si="26"/>
        <v/>
      </c>
      <c r="AU50" s="74" t="str">
        <f t="shared" si="26"/>
        <v/>
      </c>
      <c r="AV50" s="74" t="str">
        <f t="shared" si="26"/>
        <v/>
      </c>
      <c r="AW50" s="74" t="str">
        <f t="shared" si="26"/>
        <v/>
      </c>
      <c r="AX50" s="74" t="str">
        <f t="shared" si="26"/>
        <v/>
      </c>
      <c r="AY50" s="74" t="str">
        <f t="shared" si="26"/>
        <v/>
      </c>
      <c r="AZ50" s="74" t="str">
        <f t="shared" si="26"/>
        <v/>
      </c>
      <c r="BA50" s="74" t="str">
        <f t="shared" si="26"/>
        <v/>
      </c>
      <c r="BB50" s="74" t="str">
        <f t="shared" si="26"/>
        <v/>
      </c>
      <c r="BC50" s="74" t="str">
        <f t="shared" si="26"/>
        <v/>
      </c>
      <c r="BD50" s="74" t="str">
        <f t="shared" si="26"/>
        <v/>
      </c>
      <c r="BE50" s="74" t="str">
        <f t="shared" si="26"/>
        <v/>
      </c>
      <c r="BF50" s="74" t="str">
        <f t="shared" si="26"/>
        <v/>
      </c>
      <c r="BJ50" s="74" t="str">
        <f t="shared" ref="BJ50:BS59" si="27">IF($AA50&amp;$Z50=BJ$18,$A50,"")</f>
        <v/>
      </c>
      <c r="BK50" s="74" t="str">
        <f t="shared" si="27"/>
        <v/>
      </c>
      <c r="BL50" s="74" t="str">
        <f t="shared" si="27"/>
        <v/>
      </c>
      <c r="BM50" s="74" t="str">
        <f t="shared" si="27"/>
        <v/>
      </c>
      <c r="BN50" s="74" t="str">
        <f t="shared" si="27"/>
        <v/>
      </c>
      <c r="BO50" s="74" t="str">
        <f t="shared" si="27"/>
        <v/>
      </c>
      <c r="BP50" s="74" t="str">
        <f t="shared" si="27"/>
        <v/>
      </c>
      <c r="BQ50" s="74" t="str">
        <f t="shared" si="27"/>
        <v/>
      </c>
      <c r="BR50" s="74" t="str">
        <f t="shared" si="27"/>
        <v/>
      </c>
      <c r="BS50" s="74" t="str">
        <f t="shared" si="27"/>
        <v/>
      </c>
      <c r="BT50" s="74" t="str">
        <f t="shared" ref="BT50:CH59" si="28">IF($AA50&amp;$Z50=BT$18,$A50,"")</f>
        <v/>
      </c>
      <c r="BU50" s="74" t="str">
        <f t="shared" si="28"/>
        <v/>
      </c>
      <c r="BV50" s="74" t="str">
        <f t="shared" si="28"/>
        <v/>
      </c>
      <c r="BW50" s="74" t="str">
        <f t="shared" si="28"/>
        <v/>
      </c>
      <c r="BX50" s="74" t="str">
        <f t="shared" si="28"/>
        <v/>
      </c>
      <c r="BY50" s="74" t="str">
        <f t="shared" si="28"/>
        <v/>
      </c>
      <c r="BZ50" s="74" t="str">
        <f t="shared" si="28"/>
        <v/>
      </c>
      <c r="CA50" s="74" t="str">
        <f t="shared" si="28"/>
        <v/>
      </c>
      <c r="CB50" s="74" t="str">
        <f t="shared" si="28"/>
        <v/>
      </c>
      <c r="CC50" s="74" t="str">
        <f t="shared" si="28"/>
        <v/>
      </c>
      <c r="CD50" s="74" t="str">
        <f t="shared" si="28"/>
        <v/>
      </c>
      <c r="CE50" s="74" t="str">
        <f t="shared" si="28"/>
        <v/>
      </c>
      <c r="CF50" s="74" t="str">
        <f t="shared" si="28"/>
        <v/>
      </c>
      <c r="CG50" s="74" t="str">
        <f t="shared" si="28"/>
        <v/>
      </c>
      <c r="CH50" s="74" t="str">
        <f t="shared" si="28"/>
        <v/>
      </c>
    </row>
    <row r="51" spans="1:86" s="74" customFormat="1" ht="22.5">
      <c r="A51" s="180">
        <f t="shared" si="8"/>
        <v>33</v>
      </c>
      <c r="B51" s="321"/>
      <c r="C51" s="321"/>
      <c r="D51" s="104"/>
      <c r="E51" s="105" t="str">
        <f>IFERROR(VLOOKUP(D51,REFERENCES!$C$2:$D$60,2,0),"Do not write in this cell !")</f>
        <v>Do not write in this cell !</v>
      </c>
      <c r="F51" s="294"/>
      <c r="G51" s="296"/>
      <c r="H51" s="294"/>
      <c r="I51" s="295"/>
      <c r="J51" s="296"/>
      <c r="K51" s="153"/>
      <c r="L51" s="294"/>
      <c r="M51" s="295"/>
      <c r="N51" s="295"/>
      <c r="O51" s="296"/>
      <c r="P51" s="300"/>
      <c r="Q51" s="301"/>
      <c r="R51" s="302"/>
      <c r="S51" s="303"/>
      <c r="T51" s="304"/>
      <c r="U51" s="247"/>
      <c r="V51" s="247"/>
      <c r="W51" s="247" t="str">
        <f t="shared" si="13"/>
        <v/>
      </c>
      <c r="X51" s="106" t="str">
        <f>IF(U51="","Do not write in this cell !",VLOOKUP(W51,Liste!$A$18:$B$42,2,FALSE))</f>
        <v>Do not write in this cell !</v>
      </c>
      <c r="Y51" s="250"/>
      <c r="Z51" s="247"/>
      <c r="AA51" s="247"/>
      <c r="AB51" s="247" t="str">
        <f t="shared" si="14"/>
        <v/>
      </c>
      <c r="AC51" s="106" t="str">
        <f>IF(Z51="","Do not write in this cell !",VLOOKUP(AB51,Liste!$A$18:$B$42,2,FALSE))</f>
        <v>Do not write in this cell !</v>
      </c>
      <c r="AD51" s="255"/>
      <c r="AE51" s="255"/>
      <c r="AG51" s="82"/>
      <c r="AH51" s="74" t="str">
        <f t="shared" si="25"/>
        <v/>
      </c>
      <c r="AI51" s="74" t="str">
        <f t="shared" si="25"/>
        <v/>
      </c>
      <c r="AJ51" s="74" t="str">
        <f t="shared" si="25"/>
        <v/>
      </c>
      <c r="AK51" s="74" t="str">
        <f t="shared" si="25"/>
        <v/>
      </c>
      <c r="AL51" s="74" t="str">
        <f t="shared" si="25"/>
        <v/>
      </c>
      <c r="AM51" s="74" t="str">
        <f t="shared" si="25"/>
        <v/>
      </c>
      <c r="AN51" s="74" t="str">
        <f t="shared" si="25"/>
        <v/>
      </c>
      <c r="AO51" s="74" t="str">
        <f t="shared" si="25"/>
        <v/>
      </c>
      <c r="AP51" s="74" t="str">
        <f t="shared" si="25"/>
        <v/>
      </c>
      <c r="AQ51" s="74" t="str">
        <f t="shared" si="25"/>
        <v/>
      </c>
      <c r="AR51" s="74" t="str">
        <f t="shared" si="26"/>
        <v/>
      </c>
      <c r="AS51" s="74" t="str">
        <f t="shared" si="26"/>
        <v/>
      </c>
      <c r="AT51" s="74" t="str">
        <f t="shared" si="26"/>
        <v/>
      </c>
      <c r="AU51" s="74" t="str">
        <f t="shared" si="26"/>
        <v/>
      </c>
      <c r="AV51" s="74" t="str">
        <f t="shared" si="26"/>
        <v/>
      </c>
      <c r="AW51" s="74" t="str">
        <f t="shared" si="26"/>
        <v/>
      </c>
      <c r="AX51" s="74" t="str">
        <f t="shared" si="26"/>
        <v/>
      </c>
      <c r="AY51" s="74" t="str">
        <f t="shared" si="26"/>
        <v/>
      </c>
      <c r="AZ51" s="74" t="str">
        <f t="shared" si="26"/>
        <v/>
      </c>
      <c r="BA51" s="74" t="str">
        <f t="shared" si="26"/>
        <v/>
      </c>
      <c r="BB51" s="74" t="str">
        <f t="shared" si="26"/>
        <v/>
      </c>
      <c r="BC51" s="74" t="str">
        <f t="shared" si="26"/>
        <v/>
      </c>
      <c r="BD51" s="74" t="str">
        <f t="shared" si="26"/>
        <v/>
      </c>
      <c r="BE51" s="74" t="str">
        <f t="shared" si="26"/>
        <v/>
      </c>
      <c r="BF51" s="74" t="str">
        <f t="shared" si="26"/>
        <v/>
      </c>
      <c r="BJ51" s="74" t="str">
        <f t="shared" si="27"/>
        <v/>
      </c>
      <c r="BK51" s="74" t="str">
        <f t="shared" si="27"/>
        <v/>
      </c>
      <c r="BL51" s="74" t="str">
        <f t="shared" si="27"/>
        <v/>
      </c>
      <c r="BM51" s="74" t="str">
        <f t="shared" si="27"/>
        <v/>
      </c>
      <c r="BN51" s="74" t="str">
        <f t="shared" si="27"/>
        <v/>
      </c>
      <c r="BO51" s="74" t="str">
        <f t="shared" si="27"/>
        <v/>
      </c>
      <c r="BP51" s="74" t="str">
        <f t="shared" si="27"/>
        <v/>
      </c>
      <c r="BQ51" s="74" t="str">
        <f t="shared" si="27"/>
        <v/>
      </c>
      <c r="BR51" s="74" t="str">
        <f t="shared" si="27"/>
        <v/>
      </c>
      <c r="BS51" s="74" t="str">
        <f t="shared" si="27"/>
        <v/>
      </c>
      <c r="BT51" s="74" t="str">
        <f t="shared" si="28"/>
        <v/>
      </c>
      <c r="BU51" s="74" t="str">
        <f t="shared" si="28"/>
        <v/>
      </c>
      <c r="BV51" s="74" t="str">
        <f t="shared" si="28"/>
        <v/>
      </c>
      <c r="BW51" s="74" t="str">
        <f t="shared" si="28"/>
        <v/>
      </c>
      <c r="BX51" s="74" t="str">
        <f t="shared" si="28"/>
        <v/>
      </c>
      <c r="BY51" s="74" t="str">
        <f t="shared" si="28"/>
        <v/>
      </c>
      <c r="BZ51" s="74" t="str">
        <f t="shared" si="28"/>
        <v/>
      </c>
      <c r="CA51" s="74" t="str">
        <f t="shared" si="28"/>
        <v/>
      </c>
      <c r="CB51" s="74" t="str">
        <f t="shared" si="28"/>
        <v/>
      </c>
      <c r="CC51" s="74" t="str">
        <f t="shared" si="28"/>
        <v/>
      </c>
      <c r="CD51" s="74" t="str">
        <f t="shared" si="28"/>
        <v/>
      </c>
      <c r="CE51" s="74" t="str">
        <f t="shared" si="28"/>
        <v/>
      </c>
      <c r="CF51" s="74" t="str">
        <f t="shared" si="28"/>
        <v/>
      </c>
      <c r="CG51" s="74" t="str">
        <f t="shared" si="28"/>
        <v/>
      </c>
      <c r="CH51" s="74" t="str">
        <f t="shared" si="28"/>
        <v/>
      </c>
    </row>
    <row r="52" spans="1:86" s="74" customFormat="1" ht="22.5">
      <c r="A52" s="180">
        <f t="shared" si="8"/>
        <v>34</v>
      </c>
      <c r="B52" s="321"/>
      <c r="C52" s="321"/>
      <c r="D52" s="104"/>
      <c r="E52" s="105" t="str">
        <f>IFERROR(VLOOKUP(D52,REFERENCES!$C$2:$D$60,2,0),"Do not write in this cell !")</f>
        <v>Do not write in this cell !</v>
      </c>
      <c r="F52" s="294"/>
      <c r="G52" s="296"/>
      <c r="H52" s="294"/>
      <c r="I52" s="295"/>
      <c r="J52" s="296"/>
      <c r="K52" s="153"/>
      <c r="L52" s="294"/>
      <c r="M52" s="295"/>
      <c r="N52" s="295"/>
      <c r="O52" s="296"/>
      <c r="P52" s="300"/>
      <c r="Q52" s="301"/>
      <c r="R52" s="302"/>
      <c r="S52" s="303"/>
      <c r="T52" s="304"/>
      <c r="U52" s="247"/>
      <c r="V52" s="247"/>
      <c r="W52" s="247" t="str">
        <f t="shared" si="13"/>
        <v/>
      </c>
      <c r="X52" s="106" t="str">
        <f>IF(U52="","Do not write in this cell !",VLOOKUP(W52,Liste!$A$18:$B$42,2,FALSE))</f>
        <v>Do not write in this cell !</v>
      </c>
      <c r="Y52" s="250"/>
      <c r="Z52" s="247"/>
      <c r="AA52" s="247"/>
      <c r="AB52" s="247" t="str">
        <f t="shared" si="14"/>
        <v/>
      </c>
      <c r="AC52" s="106" t="str">
        <f>IF(Z52="","Do not write in this cell !",VLOOKUP(AB52,Liste!$A$18:$B$42,2,FALSE))</f>
        <v>Do not write in this cell !</v>
      </c>
      <c r="AD52" s="255"/>
      <c r="AE52" s="255"/>
      <c r="AG52" s="82"/>
      <c r="AH52" s="74" t="str">
        <f t="shared" si="25"/>
        <v/>
      </c>
      <c r="AI52" s="74" t="str">
        <f t="shared" si="25"/>
        <v/>
      </c>
      <c r="AJ52" s="74" t="str">
        <f t="shared" si="25"/>
        <v/>
      </c>
      <c r="AK52" s="74" t="str">
        <f t="shared" si="25"/>
        <v/>
      </c>
      <c r="AL52" s="74" t="str">
        <f t="shared" si="25"/>
        <v/>
      </c>
      <c r="AM52" s="74" t="str">
        <f t="shared" si="25"/>
        <v/>
      </c>
      <c r="AN52" s="74" t="str">
        <f t="shared" si="25"/>
        <v/>
      </c>
      <c r="AO52" s="74" t="str">
        <f t="shared" si="25"/>
        <v/>
      </c>
      <c r="AP52" s="74" t="str">
        <f t="shared" si="25"/>
        <v/>
      </c>
      <c r="AQ52" s="74" t="str">
        <f t="shared" si="25"/>
        <v/>
      </c>
      <c r="AR52" s="74" t="str">
        <f t="shared" si="26"/>
        <v/>
      </c>
      <c r="AS52" s="74" t="str">
        <f t="shared" si="26"/>
        <v/>
      </c>
      <c r="AT52" s="74" t="str">
        <f t="shared" si="26"/>
        <v/>
      </c>
      <c r="AU52" s="74" t="str">
        <f t="shared" si="26"/>
        <v/>
      </c>
      <c r="AV52" s="74" t="str">
        <f t="shared" si="26"/>
        <v/>
      </c>
      <c r="AW52" s="74" t="str">
        <f t="shared" si="26"/>
        <v/>
      </c>
      <c r="AX52" s="74" t="str">
        <f t="shared" si="26"/>
        <v/>
      </c>
      <c r="AY52" s="74" t="str">
        <f t="shared" si="26"/>
        <v/>
      </c>
      <c r="AZ52" s="74" t="str">
        <f t="shared" si="26"/>
        <v/>
      </c>
      <c r="BA52" s="74" t="str">
        <f t="shared" si="26"/>
        <v/>
      </c>
      <c r="BB52" s="74" t="str">
        <f t="shared" si="26"/>
        <v/>
      </c>
      <c r="BC52" s="74" t="str">
        <f t="shared" si="26"/>
        <v/>
      </c>
      <c r="BD52" s="74" t="str">
        <f t="shared" si="26"/>
        <v/>
      </c>
      <c r="BE52" s="74" t="str">
        <f t="shared" si="26"/>
        <v/>
      </c>
      <c r="BF52" s="74" t="str">
        <f t="shared" si="26"/>
        <v/>
      </c>
      <c r="BJ52" s="74" t="str">
        <f t="shared" si="27"/>
        <v/>
      </c>
      <c r="BK52" s="74" t="str">
        <f t="shared" si="27"/>
        <v/>
      </c>
      <c r="BL52" s="74" t="str">
        <f t="shared" si="27"/>
        <v/>
      </c>
      <c r="BM52" s="74" t="str">
        <f t="shared" si="27"/>
        <v/>
      </c>
      <c r="BN52" s="74" t="str">
        <f t="shared" si="27"/>
        <v/>
      </c>
      <c r="BO52" s="74" t="str">
        <f t="shared" si="27"/>
        <v/>
      </c>
      <c r="BP52" s="74" t="str">
        <f t="shared" si="27"/>
        <v/>
      </c>
      <c r="BQ52" s="74" t="str">
        <f t="shared" si="27"/>
        <v/>
      </c>
      <c r="BR52" s="74" t="str">
        <f t="shared" si="27"/>
        <v/>
      </c>
      <c r="BS52" s="74" t="str">
        <f t="shared" si="27"/>
        <v/>
      </c>
      <c r="BT52" s="74" t="str">
        <f t="shared" si="28"/>
        <v/>
      </c>
      <c r="BU52" s="74" t="str">
        <f t="shared" si="28"/>
        <v/>
      </c>
      <c r="BV52" s="74" t="str">
        <f t="shared" si="28"/>
        <v/>
      </c>
      <c r="BW52" s="74" t="str">
        <f t="shared" si="28"/>
        <v/>
      </c>
      <c r="BX52" s="74" t="str">
        <f t="shared" si="28"/>
        <v/>
      </c>
      <c r="BY52" s="74" t="str">
        <f t="shared" si="28"/>
        <v/>
      </c>
      <c r="BZ52" s="74" t="str">
        <f t="shared" si="28"/>
        <v/>
      </c>
      <c r="CA52" s="74" t="str">
        <f t="shared" si="28"/>
        <v/>
      </c>
      <c r="CB52" s="74" t="str">
        <f t="shared" si="28"/>
        <v/>
      </c>
      <c r="CC52" s="74" t="str">
        <f t="shared" si="28"/>
        <v/>
      </c>
      <c r="CD52" s="74" t="str">
        <f t="shared" si="28"/>
        <v/>
      </c>
      <c r="CE52" s="74" t="str">
        <f t="shared" si="28"/>
        <v/>
      </c>
      <c r="CF52" s="74" t="str">
        <f t="shared" si="28"/>
        <v/>
      </c>
      <c r="CG52" s="74" t="str">
        <f t="shared" si="28"/>
        <v/>
      </c>
      <c r="CH52" s="74" t="str">
        <f t="shared" si="28"/>
        <v/>
      </c>
    </row>
    <row r="53" spans="1:86" s="74" customFormat="1" ht="22.5">
      <c r="A53" s="180">
        <f t="shared" si="8"/>
        <v>35</v>
      </c>
      <c r="B53" s="321"/>
      <c r="C53" s="321"/>
      <c r="D53" s="104"/>
      <c r="E53" s="105" t="str">
        <f>IFERROR(VLOOKUP(D53,REFERENCES!$C$2:$D$60,2,0),"Do not write in this cell !")</f>
        <v>Do not write in this cell !</v>
      </c>
      <c r="F53" s="294"/>
      <c r="G53" s="296"/>
      <c r="H53" s="294"/>
      <c r="I53" s="295"/>
      <c r="J53" s="296"/>
      <c r="K53" s="153"/>
      <c r="L53" s="294"/>
      <c r="M53" s="295"/>
      <c r="N53" s="295"/>
      <c r="O53" s="296"/>
      <c r="P53" s="300"/>
      <c r="Q53" s="301"/>
      <c r="R53" s="302"/>
      <c r="S53" s="303"/>
      <c r="T53" s="304"/>
      <c r="U53" s="247"/>
      <c r="V53" s="247"/>
      <c r="W53" s="247" t="str">
        <f t="shared" si="13"/>
        <v/>
      </c>
      <c r="X53" s="106" t="str">
        <f>IF(U53="","Do not write in this cell !",VLOOKUP(W53,Liste!$A$18:$B$42,2,FALSE))</f>
        <v>Do not write in this cell !</v>
      </c>
      <c r="Y53" s="250"/>
      <c r="Z53" s="247"/>
      <c r="AA53" s="247"/>
      <c r="AB53" s="247" t="str">
        <f t="shared" si="14"/>
        <v/>
      </c>
      <c r="AC53" s="106" t="str">
        <f>IF(Z53="","Do not write in this cell !",VLOOKUP(AB53,Liste!$A$18:$B$42,2,FALSE))</f>
        <v>Do not write in this cell !</v>
      </c>
      <c r="AD53" s="255"/>
      <c r="AE53" s="255"/>
      <c r="AG53" s="82"/>
      <c r="AH53" s="74" t="str">
        <f t="shared" si="25"/>
        <v/>
      </c>
      <c r="AI53" s="74" t="str">
        <f t="shared" si="25"/>
        <v/>
      </c>
      <c r="AJ53" s="74" t="str">
        <f t="shared" si="25"/>
        <v/>
      </c>
      <c r="AK53" s="74" t="str">
        <f t="shared" si="25"/>
        <v/>
      </c>
      <c r="AL53" s="74" t="str">
        <f t="shared" si="25"/>
        <v/>
      </c>
      <c r="AM53" s="74" t="str">
        <f t="shared" si="25"/>
        <v/>
      </c>
      <c r="AN53" s="74" t="str">
        <f t="shared" si="25"/>
        <v/>
      </c>
      <c r="AO53" s="74" t="str">
        <f t="shared" si="25"/>
        <v/>
      </c>
      <c r="AP53" s="74" t="str">
        <f t="shared" si="25"/>
        <v/>
      </c>
      <c r="AQ53" s="74" t="str">
        <f t="shared" si="25"/>
        <v/>
      </c>
      <c r="AR53" s="74" t="str">
        <f t="shared" si="26"/>
        <v/>
      </c>
      <c r="AS53" s="74" t="str">
        <f t="shared" si="26"/>
        <v/>
      </c>
      <c r="AT53" s="74" t="str">
        <f t="shared" si="26"/>
        <v/>
      </c>
      <c r="AU53" s="74" t="str">
        <f t="shared" si="26"/>
        <v/>
      </c>
      <c r="AV53" s="74" t="str">
        <f t="shared" si="26"/>
        <v/>
      </c>
      <c r="AW53" s="74" t="str">
        <f t="shared" si="26"/>
        <v/>
      </c>
      <c r="AX53" s="74" t="str">
        <f t="shared" si="26"/>
        <v/>
      </c>
      <c r="AY53" s="74" t="str">
        <f t="shared" si="26"/>
        <v/>
      </c>
      <c r="AZ53" s="74" t="str">
        <f t="shared" si="26"/>
        <v/>
      </c>
      <c r="BA53" s="74" t="str">
        <f t="shared" si="26"/>
        <v/>
      </c>
      <c r="BB53" s="74" t="str">
        <f t="shared" si="26"/>
        <v/>
      </c>
      <c r="BC53" s="74" t="str">
        <f t="shared" si="26"/>
        <v/>
      </c>
      <c r="BD53" s="74" t="str">
        <f t="shared" si="26"/>
        <v/>
      </c>
      <c r="BE53" s="74" t="str">
        <f t="shared" si="26"/>
        <v/>
      </c>
      <c r="BF53" s="74" t="str">
        <f t="shared" si="26"/>
        <v/>
      </c>
      <c r="BJ53" s="74" t="str">
        <f t="shared" si="27"/>
        <v/>
      </c>
      <c r="BK53" s="74" t="str">
        <f t="shared" si="27"/>
        <v/>
      </c>
      <c r="BL53" s="74" t="str">
        <f t="shared" si="27"/>
        <v/>
      </c>
      <c r="BM53" s="74" t="str">
        <f t="shared" si="27"/>
        <v/>
      </c>
      <c r="BN53" s="74" t="str">
        <f t="shared" si="27"/>
        <v/>
      </c>
      <c r="BO53" s="74" t="str">
        <f t="shared" si="27"/>
        <v/>
      </c>
      <c r="BP53" s="74" t="str">
        <f t="shared" si="27"/>
        <v/>
      </c>
      <c r="BQ53" s="74" t="str">
        <f t="shared" si="27"/>
        <v/>
      </c>
      <c r="BR53" s="74" t="str">
        <f t="shared" si="27"/>
        <v/>
      </c>
      <c r="BS53" s="74" t="str">
        <f t="shared" si="27"/>
        <v/>
      </c>
      <c r="BT53" s="74" t="str">
        <f t="shared" si="28"/>
        <v/>
      </c>
      <c r="BU53" s="74" t="str">
        <f t="shared" si="28"/>
        <v/>
      </c>
      <c r="BV53" s="74" t="str">
        <f t="shared" si="28"/>
        <v/>
      </c>
      <c r="BW53" s="74" t="str">
        <f t="shared" si="28"/>
        <v/>
      </c>
      <c r="BX53" s="74" t="str">
        <f t="shared" si="28"/>
        <v/>
      </c>
      <c r="BY53" s="74" t="str">
        <f t="shared" si="28"/>
        <v/>
      </c>
      <c r="BZ53" s="74" t="str">
        <f t="shared" si="28"/>
        <v/>
      </c>
      <c r="CA53" s="74" t="str">
        <f t="shared" si="28"/>
        <v/>
      </c>
      <c r="CB53" s="74" t="str">
        <f t="shared" si="28"/>
        <v/>
      </c>
      <c r="CC53" s="74" t="str">
        <f t="shared" si="28"/>
        <v/>
      </c>
      <c r="CD53" s="74" t="str">
        <f t="shared" si="28"/>
        <v/>
      </c>
      <c r="CE53" s="74" t="str">
        <f t="shared" si="28"/>
        <v/>
      </c>
      <c r="CF53" s="74" t="str">
        <f t="shared" si="28"/>
        <v/>
      </c>
      <c r="CG53" s="74" t="str">
        <f t="shared" si="28"/>
        <v/>
      </c>
      <c r="CH53" s="74" t="str">
        <f t="shared" si="28"/>
        <v/>
      </c>
    </row>
    <row r="54" spans="1:86" s="74" customFormat="1" ht="22.5">
      <c r="A54" s="180">
        <f t="shared" si="8"/>
        <v>36</v>
      </c>
      <c r="B54" s="321"/>
      <c r="C54" s="321"/>
      <c r="D54" s="104"/>
      <c r="E54" s="105" t="str">
        <f>IFERROR(VLOOKUP(D54,REFERENCES!$C$2:$D$60,2,0),"Do not write in this cell !")</f>
        <v>Do not write in this cell !</v>
      </c>
      <c r="F54" s="294"/>
      <c r="G54" s="296"/>
      <c r="H54" s="294"/>
      <c r="I54" s="295"/>
      <c r="J54" s="296"/>
      <c r="K54" s="153"/>
      <c r="L54" s="294"/>
      <c r="M54" s="295"/>
      <c r="N54" s="295"/>
      <c r="O54" s="296"/>
      <c r="P54" s="300"/>
      <c r="Q54" s="301"/>
      <c r="R54" s="302"/>
      <c r="S54" s="303"/>
      <c r="T54" s="304"/>
      <c r="U54" s="247"/>
      <c r="V54" s="247"/>
      <c r="W54" s="247" t="str">
        <f t="shared" si="13"/>
        <v/>
      </c>
      <c r="X54" s="106" t="str">
        <f>IF(U54="","Do not write in this cell !",VLOOKUP(W54,Liste!$A$18:$B$42,2,FALSE))</f>
        <v>Do not write in this cell !</v>
      </c>
      <c r="Y54" s="250"/>
      <c r="Z54" s="247"/>
      <c r="AA54" s="247"/>
      <c r="AB54" s="247" t="str">
        <f t="shared" si="14"/>
        <v/>
      </c>
      <c r="AC54" s="106" t="str">
        <f>IF(Z54="","Do not write in this cell !",VLOOKUP(AB54,Liste!$A$18:$B$42,2,FALSE))</f>
        <v>Do not write in this cell !</v>
      </c>
      <c r="AD54" s="255"/>
      <c r="AE54" s="255"/>
      <c r="AG54" s="82"/>
      <c r="AH54" s="74" t="str">
        <f t="shared" si="25"/>
        <v/>
      </c>
      <c r="AI54" s="74" t="str">
        <f t="shared" si="25"/>
        <v/>
      </c>
      <c r="AJ54" s="74" t="str">
        <f t="shared" si="25"/>
        <v/>
      </c>
      <c r="AK54" s="74" t="str">
        <f t="shared" si="25"/>
        <v/>
      </c>
      <c r="AL54" s="74" t="str">
        <f t="shared" si="25"/>
        <v/>
      </c>
      <c r="AM54" s="74" t="str">
        <f t="shared" si="25"/>
        <v/>
      </c>
      <c r="AN54" s="74" t="str">
        <f t="shared" si="25"/>
        <v/>
      </c>
      <c r="AO54" s="74" t="str">
        <f t="shared" si="25"/>
        <v/>
      </c>
      <c r="AP54" s="74" t="str">
        <f t="shared" si="25"/>
        <v/>
      </c>
      <c r="AQ54" s="74" t="str">
        <f t="shared" si="25"/>
        <v/>
      </c>
      <c r="AR54" s="74" t="str">
        <f t="shared" si="26"/>
        <v/>
      </c>
      <c r="AS54" s="74" t="str">
        <f t="shared" si="26"/>
        <v/>
      </c>
      <c r="AT54" s="74" t="str">
        <f t="shared" si="26"/>
        <v/>
      </c>
      <c r="AU54" s="74" t="str">
        <f t="shared" si="26"/>
        <v/>
      </c>
      <c r="AV54" s="74" t="str">
        <f t="shared" si="26"/>
        <v/>
      </c>
      <c r="AW54" s="74" t="str">
        <f t="shared" si="26"/>
        <v/>
      </c>
      <c r="AX54" s="74" t="str">
        <f t="shared" si="26"/>
        <v/>
      </c>
      <c r="AY54" s="74" t="str">
        <f t="shared" si="26"/>
        <v/>
      </c>
      <c r="AZ54" s="74" t="str">
        <f t="shared" si="26"/>
        <v/>
      </c>
      <c r="BA54" s="74" t="str">
        <f t="shared" si="26"/>
        <v/>
      </c>
      <c r="BB54" s="74" t="str">
        <f t="shared" si="26"/>
        <v/>
      </c>
      <c r="BC54" s="74" t="str">
        <f t="shared" si="26"/>
        <v/>
      </c>
      <c r="BD54" s="74" t="str">
        <f t="shared" si="26"/>
        <v/>
      </c>
      <c r="BE54" s="74" t="str">
        <f t="shared" si="26"/>
        <v/>
      </c>
      <c r="BF54" s="74" t="str">
        <f t="shared" si="26"/>
        <v/>
      </c>
      <c r="BJ54" s="74" t="str">
        <f t="shared" si="27"/>
        <v/>
      </c>
      <c r="BK54" s="74" t="str">
        <f t="shared" si="27"/>
        <v/>
      </c>
      <c r="BL54" s="74" t="str">
        <f t="shared" si="27"/>
        <v/>
      </c>
      <c r="BM54" s="74" t="str">
        <f t="shared" si="27"/>
        <v/>
      </c>
      <c r="BN54" s="74" t="str">
        <f t="shared" si="27"/>
        <v/>
      </c>
      <c r="BO54" s="74" t="str">
        <f t="shared" si="27"/>
        <v/>
      </c>
      <c r="BP54" s="74" t="str">
        <f t="shared" si="27"/>
        <v/>
      </c>
      <c r="BQ54" s="74" t="str">
        <f t="shared" si="27"/>
        <v/>
      </c>
      <c r="BR54" s="74" t="str">
        <f t="shared" si="27"/>
        <v/>
      </c>
      <c r="BS54" s="74" t="str">
        <f t="shared" si="27"/>
        <v/>
      </c>
      <c r="BT54" s="74" t="str">
        <f t="shared" si="28"/>
        <v/>
      </c>
      <c r="BU54" s="74" t="str">
        <f t="shared" si="28"/>
        <v/>
      </c>
      <c r="BV54" s="74" t="str">
        <f t="shared" si="28"/>
        <v/>
      </c>
      <c r="BW54" s="74" t="str">
        <f t="shared" si="28"/>
        <v/>
      </c>
      <c r="BX54" s="74" t="str">
        <f t="shared" si="28"/>
        <v/>
      </c>
      <c r="BY54" s="74" t="str">
        <f t="shared" si="28"/>
        <v/>
      </c>
      <c r="BZ54" s="74" t="str">
        <f t="shared" si="28"/>
        <v/>
      </c>
      <c r="CA54" s="74" t="str">
        <f t="shared" si="28"/>
        <v/>
      </c>
      <c r="CB54" s="74" t="str">
        <f t="shared" si="28"/>
        <v/>
      </c>
      <c r="CC54" s="74" t="str">
        <f t="shared" si="28"/>
        <v/>
      </c>
      <c r="CD54" s="74" t="str">
        <f t="shared" si="28"/>
        <v/>
      </c>
      <c r="CE54" s="74" t="str">
        <f t="shared" si="28"/>
        <v/>
      </c>
      <c r="CF54" s="74" t="str">
        <f t="shared" si="28"/>
        <v/>
      </c>
      <c r="CG54" s="74" t="str">
        <f t="shared" si="28"/>
        <v/>
      </c>
      <c r="CH54" s="74" t="str">
        <f t="shared" si="28"/>
        <v/>
      </c>
    </row>
    <row r="55" spans="1:86" s="74" customFormat="1" ht="22.5">
      <c r="A55" s="180">
        <f t="shared" si="8"/>
        <v>37</v>
      </c>
      <c r="B55" s="321"/>
      <c r="C55" s="321"/>
      <c r="D55" s="104"/>
      <c r="E55" s="105" t="str">
        <f>IFERROR(VLOOKUP(D55,REFERENCES!$C$2:$D$60,2,0),"Do not write in this cell !")</f>
        <v>Do not write in this cell !</v>
      </c>
      <c r="F55" s="294"/>
      <c r="G55" s="296"/>
      <c r="H55" s="294"/>
      <c r="I55" s="295"/>
      <c r="J55" s="296"/>
      <c r="K55" s="153"/>
      <c r="L55" s="294"/>
      <c r="M55" s="295"/>
      <c r="N55" s="295"/>
      <c r="O55" s="296"/>
      <c r="P55" s="300"/>
      <c r="Q55" s="301"/>
      <c r="R55" s="302"/>
      <c r="S55" s="303"/>
      <c r="T55" s="304"/>
      <c r="U55" s="247"/>
      <c r="V55" s="247"/>
      <c r="W55" s="247" t="str">
        <f t="shared" si="13"/>
        <v/>
      </c>
      <c r="X55" s="106" t="str">
        <f>IF(U55="","Do not write in this cell !",VLOOKUP(W55,Liste!$A$18:$B$42,2,FALSE))</f>
        <v>Do not write in this cell !</v>
      </c>
      <c r="Y55" s="250"/>
      <c r="Z55" s="247"/>
      <c r="AA55" s="247"/>
      <c r="AB55" s="247" t="str">
        <f t="shared" si="14"/>
        <v/>
      </c>
      <c r="AC55" s="106" t="str">
        <f>IF(Z55="","Do not write in this cell !",VLOOKUP(AB55,Liste!$A$18:$B$42,2,FALSE))</f>
        <v>Do not write in this cell !</v>
      </c>
      <c r="AD55" s="255"/>
      <c r="AE55" s="255"/>
      <c r="AG55" s="82"/>
      <c r="AH55" s="74" t="str">
        <f t="shared" si="25"/>
        <v/>
      </c>
      <c r="AI55" s="74" t="str">
        <f t="shared" si="25"/>
        <v/>
      </c>
      <c r="AJ55" s="74" t="str">
        <f t="shared" si="25"/>
        <v/>
      </c>
      <c r="AK55" s="74" t="str">
        <f t="shared" si="25"/>
        <v/>
      </c>
      <c r="AL55" s="74" t="str">
        <f t="shared" si="25"/>
        <v/>
      </c>
      <c r="AM55" s="74" t="str">
        <f t="shared" si="25"/>
        <v/>
      </c>
      <c r="AN55" s="74" t="str">
        <f t="shared" si="25"/>
        <v/>
      </c>
      <c r="AO55" s="74" t="str">
        <f t="shared" si="25"/>
        <v/>
      </c>
      <c r="AP55" s="74" t="str">
        <f t="shared" si="25"/>
        <v/>
      </c>
      <c r="AQ55" s="74" t="str">
        <f t="shared" si="25"/>
        <v/>
      </c>
      <c r="AR55" s="74" t="str">
        <f t="shared" si="26"/>
        <v/>
      </c>
      <c r="AS55" s="74" t="str">
        <f t="shared" si="26"/>
        <v/>
      </c>
      <c r="AT55" s="74" t="str">
        <f t="shared" si="26"/>
        <v/>
      </c>
      <c r="AU55" s="74" t="str">
        <f t="shared" si="26"/>
        <v/>
      </c>
      <c r="AV55" s="74" t="str">
        <f t="shared" si="26"/>
        <v/>
      </c>
      <c r="AW55" s="74" t="str">
        <f t="shared" si="26"/>
        <v/>
      </c>
      <c r="AX55" s="74" t="str">
        <f t="shared" si="26"/>
        <v/>
      </c>
      <c r="AY55" s="74" t="str">
        <f t="shared" si="26"/>
        <v/>
      </c>
      <c r="AZ55" s="74" t="str">
        <f t="shared" si="26"/>
        <v/>
      </c>
      <c r="BA55" s="74" t="str">
        <f t="shared" si="26"/>
        <v/>
      </c>
      <c r="BB55" s="74" t="str">
        <f t="shared" si="26"/>
        <v/>
      </c>
      <c r="BC55" s="74" t="str">
        <f t="shared" si="26"/>
        <v/>
      </c>
      <c r="BD55" s="74" t="str">
        <f t="shared" si="26"/>
        <v/>
      </c>
      <c r="BE55" s="74" t="str">
        <f t="shared" si="26"/>
        <v/>
      </c>
      <c r="BF55" s="74" t="str">
        <f t="shared" si="26"/>
        <v/>
      </c>
      <c r="BJ55" s="74" t="str">
        <f t="shared" si="27"/>
        <v/>
      </c>
      <c r="BK55" s="74" t="str">
        <f t="shared" si="27"/>
        <v/>
      </c>
      <c r="BL55" s="74" t="str">
        <f t="shared" si="27"/>
        <v/>
      </c>
      <c r="BM55" s="74" t="str">
        <f t="shared" si="27"/>
        <v/>
      </c>
      <c r="BN55" s="74" t="str">
        <f t="shared" si="27"/>
        <v/>
      </c>
      <c r="BO55" s="74" t="str">
        <f t="shared" si="27"/>
        <v/>
      </c>
      <c r="BP55" s="74" t="str">
        <f t="shared" si="27"/>
        <v/>
      </c>
      <c r="BQ55" s="74" t="str">
        <f t="shared" si="27"/>
        <v/>
      </c>
      <c r="BR55" s="74" t="str">
        <f t="shared" si="27"/>
        <v/>
      </c>
      <c r="BS55" s="74" t="str">
        <f t="shared" si="27"/>
        <v/>
      </c>
      <c r="BT55" s="74" t="str">
        <f t="shared" si="28"/>
        <v/>
      </c>
      <c r="BU55" s="74" t="str">
        <f t="shared" si="28"/>
        <v/>
      </c>
      <c r="BV55" s="74" t="str">
        <f t="shared" si="28"/>
        <v/>
      </c>
      <c r="BW55" s="74" t="str">
        <f t="shared" si="28"/>
        <v/>
      </c>
      <c r="BX55" s="74" t="str">
        <f t="shared" si="28"/>
        <v/>
      </c>
      <c r="BY55" s="74" t="str">
        <f t="shared" si="28"/>
        <v/>
      </c>
      <c r="BZ55" s="74" t="str">
        <f t="shared" si="28"/>
        <v/>
      </c>
      <c r="CA55" s="74" t="str">
        <f t="shared" si="28"/>
        <v/>
      </c>
      <c r="CB55" s="74" t="str">
        <f t="shared" si="28"/>
        <v/>
      </c>
      <c r="CC55" s="74" t="str">
        <f t="shared" si="28"/>
        <v/>
      </c>
      <c r="CD55" s="74" t="str">
        <f t="shared" si="28"/>
        <v/>
      </c>
      <c r="CE55" s="74" t="str">
        <f t="shared" si="28"/>
        <v/>
      </c>
      <c r="CF55" s="74" t="str">
        <f t="shared" si="28"/>
        <v/>
      </c>
      <c r="CG55" s="74" t="str">
        <f t="shared" si="28"/>
        <v/>
      </c>
      <c r="CH55" s="74" t="str">
        <f t="shared" si="28"/>
        <v/>
      </c>
    </row>
    <row r="56" spans="1:86" s="74" customFormat="1" ht="22.5">
      <c r="A56" s="180">
        <f t="shared" si="8"/>
        <v>38</v>
      </c>
      <c r="B56" s="321"/>
      <c r="C56" s="321"/>
      <c r="D56" s="104"/>
      <c r="E56" s="105" t="str">
        <f>IFERROR(VLOOKUP(D56,REFERENCES!$C$2:$D$60,2,0),"Do not write in this cell !")</f>
        <v>Do not write in this cell !</v>
      </c>
      <c r="F56" s="294"/>
      <c r="G56" s="296"/>
      <c r="H56" s="294"/>
      <c r="I56" s="295"/>
      <c r="J56" s="296"/>
      <c r="K56" s="153"/>
      <c r="L56" s="294"/>
      <c r="M56" s="295"/>
      <c r="N56" s="295"/>
      <c r="O56" s="296"/>
      <c r="P56" s="300"/>
      <c r="Q56" s="301"/>
      <c r="R56" s="302"/>
      <c r="S56" s="303"/>
      <c r="T56" s="304"/>
      <c r="U56" s="247"/>
      <c r="V56" s="247"/>
      <c r="W56" s="247" t="str">
        <f t="shared" si="13"/>
        <v/>
      </c>
      <c r="X56" s="106" t="str">
        <f>IF(U56="","Do not write in this cell !",VLOOKUP(W56,Liste!$A$18:$B$42,2,FALSE))</f>
        <v>Do not write in this cell !</v>
      </c>
      <c r="Y56" s="250"/>
      <c r="Z56" s="247"/>
      <c r="AA56" s="247"/>
      <c r="AB56" s="247" t="str">
        <f t="shared" si="14"/>
        <v/>
      </c>
      <c r="AC56" s="106" t="str">
        <f>IF(Z56="","Do not write in this cell !",VLOOKUP(AB56,Liste!$A$18:$B$42,2,FALSE))</f>
        <v>Do not write in this cell !</v>
      </c>
      <c r="AD56" s="255"/>
      <c r="AE56" s="255"/>
      <c r="AG56" s="82"/>
      <c r="AH56" s="74" t="str">
        <f t="shared" si="25"/>
        <v/>
      </c>
      <c r="AI56" s="74" t="str">
        <f t="shared" si="25"/>
        <v/>
      </c>
      <c r="AJ56" s="74" t="str">
        <f t="shared" si="25"/>
        <v/>
      </c>
      <c r="AK56" s="74" t="str">
        <f t="shared" si="25"/>
        <v/>
      </c>
      <c r="AL56" s="74" t="str">
        <f t="shared" si="25"/>
        <v/>
      </c>
      <c r="AM56" s="74" t="str">
        <f t="shared" si="25"/>
        <v/>
      </c>
      <c r="AN56" s="74" t="str">
        <f t="shared" si="25"/>
        <v/>
      </c>
      <c r="AO56" s="74" t="str">
        <f t="shared" si="25"/>
        <v/>
      </c>
      <c r="AP56" s="74" t="str">
        <f t="shared" si="25"/>
        <v/>
      </c>
      <c r="AQ56" s="74" t="str">
        <f t="shared" si="25"/>
        <v/>
      </c>
      <c r="AR56" s="74" t="str">
        <f t="shared" si="26"/>
        <v/>
      </c>
      <c r="AS56" s="74" t="str">
        <f t="shared" si="26"/>
        <v/>
      </c>
      <c r="AT56" s="74" t="str">
        <f t="shared" si="26"/>
        <v/>
      </c>
      <c r="AU56" s="74" t="str">
        <f t="shared" si="26"/>
        <v/>
      </c>
      <c r="AV56" s="74" t="str">
        <f t="shared" si="26"/>
        <v/>
      </c>
      <c r="AW56" s="74" t="str">
        <f t="shared" si="26"/>
        <v/>
      </c>
      <c r="AX56" s="74" t="str">
        <f t="shared" si="26"/>
        <v/>
      </c>
      <c r="AY56" s="74" t="str">
        <f t="shared" si="26"/>
        <v/>
      </c>
      <c r="AZ56" s="74" t="str">
        <f t="shared" si="26"/>
        <v/>
      </c>
      <c r="BA56" s="74" t="str">
        <f t="shared" si="26"/>
        <v/>
      </c>
      <c r="BB56" s="74" t="str">
        <f t="shared" si="26"/>
        <v/>
      </c>
      <c r="BC56" s="74" t="str">
        <f t="shared" si="26"/>
        <v/>
      </c>
      <c r="BD56" s="74" t="str">
        <f t="shared" si="26"/>
        <v/>
      </c>
      <c r="BE56" s="74" t="str">
        <f t="shared" si="26"/>
        <v/>
      </c>
      <c r="BF56" s="74" t="str">
        <f t="shared" si="26"/>
        <v/>
      </c>
      <c r="BJ56" s="74" t="str">
        <f t="shared" si="27"/>
        <v/>
      </c>
      <c r="BK56" s="74" t="str">
        <f t="shared" si="27"/>
        <v/>
      </c>
      <c r="BL56" s="74" t="str">
        <f t="shared" si="27"/>
        <v/>
      </c>
      <c r="BM56" s="74" t="str">
        <f t="shared" si="27"/>
        <v/>
      </c>
      <c r="BN56" s="74" t="str">
        <f t="shared" si="27"/>
        <v/>
      </c>
      <c r="BO56" s="74" t="str">
        <f t="shared" si="27"/>
        <v/>
      </c>
      <c r="BP56" s="74" t="str">
        <f t="shared" si="27"/>
        <v/>
      </c>
      <c r="BQ56" s="74" t="str">
        <f t="shared" si="27"/>
        <v/>
      </c>
      <c r="BR56" s="74" t="str">
        <f t="shared" si="27"/>
        <v/>
      </c>
      <c r="BS56" s="74" t="str">
        <f t="shared" si="27"/>
        <v/>
      </c>
      <c r="BT56" s="74" t="str">
        <f t="shared" si="28"/>
        <v/>
      </c>
      <c r="BU56" s="74" t="str">
        <f t="shared" si="28"/>
        <v/>
      </c>
      <c r="BV56" s="74" t="str">
        <f t="shared" si="28"/>
        <v/>
      </c>
      <c r="BW56" s="74" t="str">
        <f t="shared" si="28"/>
        <v/>
      </c>
      <c r="BX56" s="74" t="str">
        <f t="shared" si="28"/>
        <v/>
      </c>
      <c r="BY56" s="74" t="str">
        <f t="shared" si="28"/>
        <v/>
      </c>
      <c r="BZ56" s="74" t="str">
        <f t="shared" si="28"/>
        <v/>
      </c>
      <c r="CA56" s="74" t="str">
        <f t="shared" si="28"/>
        <v/>
      </c>
      <c r="CB56" s="74" t="str">
        <f t="shared" si="28"/>
        <v/>
      </c>
      <c r="CC56" s="74" t="str">
        <f t="shared" si="28"/>
        <v/>
      </c>
      <c r="CD56" s="74" t="str">
        <f t="shared" si="28"/>
        <v/>
      </c>
      <c r="CE56" s="74" t="str">
        <f t="shared" si="28"/>
        <v/>
      </c>
      <c r="CF56" s="74" t="str">
        <f t="shared" si="28"/>
        <v/>
      </c>
      <c r="CG56" s="74" t="str">
        <f t="shared" si="28"/>
        <v/>
      </c>
      <c r="CH56" s="74" t="str">
        <f t="shared" si="28"/>
        <v/>
      </c>
    </row>
    <row r="57" spans="1:86" s="74" customFormat="1" ht="22.5">
      <c r="A57" s="180">
        <f t="shared" si="8"/>
        <v>39</v>
      </c>
      <c r="B57" s="321"/>
      <c r="C57" s="321"/>
      <c r="D57" s="104"/>
      <c r="E57" s="105" t="str">
        <f>IFERROR(VLOOKUP(D57,REFERENCES!$C$2:$D$60,2,0),"Do not write in this cell !")</f>
        <v>Do not write in this cell !</v>
      </c>
      <c r="F57" s="294"/>
      <c r="G57" s="296"/>
      <c r="H57" s="294"/>
      <c r="I57" s="295"/>
      <c r="J57" s="296"/>
      <c r="K57" s="153"/>
      <c r="L57" s="294"/>
      <c r="M57" s="295"/>
      <c r="N57" s="295"/>
      <c r="O57" s="296"/>
      <c r="P57" s="300"/>
      <c r="Q57" s="301"/>
      <c r="R57" s="302"/>
      <c r="S57" s="303"/>
      <c r="T57" s="304"/>
      <c r="U57" s="247"/>
      <c r="V57" s="247"/>
      <c r="W57" s="247" t="str">
        <f t="shared" si="13"/>
        <v/>
      </c>
      <c r="X57" s="106" t="str">
        <f>IF(U57="","Do not write in this cell !",VLOOKUP(W57,Liste!$A$18:$B$42,2,FALSE))</f>
        <v>Do not write in this cell !</v>
      </c>
      <c r="Y57" s="250"/>
      <c r="Z57" s="247"/>
      <c r="AA57" s="247"/>
      <c r="AB57" s="247" t="str">
        <f t="shared" si="14"/>
        <v/>
      </c>
      <c r="AC57" s="106" t="str">
        <f>IF(Z57="","Do not write in this cell !",VLOOKUP(AB57,Liste!$A$18:$B$42,2,FALSE))</f>
        <v>Do not write in this cell !</v>
      </c>
      <c r="AD57" s="255"/>
      <c r="AE57" s="255"/>
      <c r="AG57" s="82"/>
      <c r="AH57" s="74" t="str">
        <f t="shared" si="25"/>
        <v/>
      </c>
      <c r="AI57" s="74" t="str">
        <f t="shared" si="25"/>
        <v/>
      </c>
      <c r="AJ57" s="74" t="str">
        <f t="shared" si="25"/>
        <v/>
      </c>
      <c r="AK57" s="74" t="str">
        <f t="shared" si="25"/>
        <v/>
      </c>
      <c r="AL57" s="74" t="str">
        <f t="shared" si="25"/>
        <v/>
      </c>
      <c r="AM57" s="74" t="str">
        <f t="shared" si="25"/>
        <v/>
      </c>
      <c r="AN57" s="74" t="str">
        <f t="shared" si="25"/>
        <v/>
      </c>
      <c r="AO57" s="74" t="str">
        <f t="shared" si="25"/>
        <v/>
      </c>
      <c r="AP57" s="74" t="str">
        <f t="shared" si="25"/>
        <v/>
      </c>
      <c r="AQ57" s="74" t="str">
        <f t="shared" si="25"/>
        <v/>
      </c>
      <c r="AR57" s="74" t="str">
        <f t="shared" si="26"/>
        <v/>
      </c>
      <c r="AS57" s="74" t="str">
        <f t="shared" si="26"/>
        <v/>
      </c>
      <c r="AT57" s="74" t="str">
        <f t="shared" si="26"/>
        <v/>
      </c>
      <c r="AU57" s="74" t="str">
        <f t="shared" si="26"/>
        <v/>
      </c>
      <c r="AV57" s="74" t="str">
        <f t="shared" si="26"/>
        <v/>
      </c>
      <c r="AW57" s="74" t="str">
        <f t="shared" si="26"/>
        <v/>
      </c>
      <c r="AX57" s="74" t="str">
        <f t="shared" si="26"/>
        <v/>
      </c>
      <c r="AY57" s="74" t="str">
        <f t="shared" si="26"/>
        <v/>
      </c>
      <c r="AZ57" s="74" t="str">
        <f t="shared" si="26"/>
        <v/>
      </c>
      <c r="BA57" s="74" t="str">
        <f t="shared" si="26"/>
        <v/>
      </c>
      <c r="BB57" s="74" t="str">
        <f t="shared" si="26"/>
        <v/>
      </c>
      <c r="BC57" s="74" t="str">
        <f t="shared" si="26"/>
        <v/>
      </c>
      <c r="BD57" s="74" t="str">
        <f t="shared" si="26"/>
        <v/>
      </c>
      <c r="BE57" s="74" t="str">
        <f t="shared" si="26"/>
        <v/>
      </c>
      <c r="BF57" s="74" t="str">
        <f t="shared" si="26"/>
        <v/>
      </c>
      <c r="BJ57" s="74" t="str">
        <f t="shared" si="27"/>
        <v/>
      </c>
      <c r="BK57" s="74" t="str">
        <f t="shared" si="27"/>
        <v/>
      </c>
      <c r="BL57" s="74" t="str">
        <f t="shared" si="27"/>
        <v/>
      </c>
      <c r="BM57" s="74" t="str">
        <f t="shared" si="27"/>
        <v/>
      </c>
      <c r="BN57" s="74" t="str">
        <f t="shared" si="27"/>
        <v/>
      </c>
      <c r="BO57" s="74" t="str">
        <f t="shared" si="27"/>
        <v/>
      </c>
      <c r="BP57" s="74" t="str">
        <f t="shared" si="27"/>
        <v/>
      </c>
      <c r="BQ57" s="74" t="str">
        <f t="shared" si="27"/>
        <v/>
      </c>
      <c r="BR57" s="74" t="str">
        <f t="shared" si="27"/>
        <v/>
      </c>
      <c r="BS57" s="74" t="str">
        <f t="shared" si="27"/>
        <v/>
      </c>
      <c r="BT57" s="74" t="str">
        <f t="shared" si="28"/>
        <v/>
      </c>
      <c r="BU57" s="74" t="str">
        <f t="shared" si="28"/>
        <v/>
      </c>
      <c r="BV57" s="74" t="str">
        <f t="shared" si="28"/>
        <v/>
      </c>
      <c r="BW57" s="74" t="str">
        <f t="shared" si="28"/>
        <v/>
      </c>
      <c r="BX57" s="74" t="str">
        <f t="shared" si="28"/>
        <v/>
      </c>
      <c r="BY57" s="74" t="str">
        <f t="shared" si="28"/>
        <v/>
      </c>
      <c r="BZ57" s="74" t="str">
        <f t="shared" si="28"/>
        <v/>
      </c>
      <c r="CA57" s="74" t="str">
        <f t="shared" si="28"/>
        <v/>
      </c>
      <c r="CB57" s="74" t="str">
        <f t="shared" si="28"/>
        <v/>
      </c>
      <c r="CC57" s="74" t="str">
        <f t="shared" si="28"/>
        <v/>
      </c>
      <c r="CD57" s="74" t="str">
        <f t="shared" si="28"/>
        <v/>
      </c>
      <c r="CE57" s="74" t="str">
        <f t="shared" si="28"/>
        <v/>
      </c>
      <c r="CF57" s="74" t="str">
        <f t="shared" si="28"/>
        <v/>
      </c>
      <c r="CG57" s="74" t="str">
        <f t="shared" si="28"/>
        <v/>
      </c>
      <c r="CH57" s="74" t="str">
        <f t="shared" si="28"/>
        <v/>
      </c>
    </row>
    <row r="58" spans="1:86" s="74" customFormat="1" ht="22.5">
      <c r="A58" s="180">
        <f t="shared" si="8"/>
        <v>40</v>
      </c>
      <c r="B58" s="321"/>
      <c r="C58" s="321"/>
      <c r="D58" s="104"/>
      <c r="E58" s="105" t="str">
        <f>IFERROR(VLOOKUP(D58,REFERENCES!$C$2:$D$60,2,0),"Do not write in this cell !")</f>
        <v>Do not write in this cell !</v>
      </c>
      <c r="F58" s="294"/>
      <c r="G58" s="296"/>
      <c r="H58" s="294"/>
      <c r="I58" s="295"/>
      <c r="J58" s="296"/>
      <c r="K58" s="153"/>
      <c r="L58" s="294"/>
      <c r="M58" s="295"/>
      <c r="N58" s="295"/>
      <c r="O58" s="296"/>
      <c r="P58" s="300"/>
      <c r="Q58" s="301"/>
      <c r="R58" s="302"/>
      <c r="S58" s="303"/>
      <c r="T58" s="304"/>
      <c r="U58" s="247"/>
      <c r="V58" s="247"/>
      <c r="W58" s="247" t="str">
        <f t="shared" si="13"/>
        <v/>
      </c>
      <c r="X58" s="106" t="str">
        <f>IF(U58="","Do not write in this cell !",VLOOKUP(W58,Liste!$A$18:$B$42,2,FALSE))</f>
        <v>Do not write in this cell !</v>
      </c>
      <c r="Y58" s="250"/>
      <c r="Z58" s="247"/>
      <c r="AA58" s="247"/>
      <c r="AB58" s="247" t="str">
        <f t="shared" si="14"/>
        <v/>
      </c>
      <c r="AC58" s="106" t="str">
        <f>IF(Z58="","Do not write in this cell !",VLOOKUP(AB58,Liste!$A$18:$B$42,2,FALSE))</f>
        <v>Do not write in this cell !</v>
      </c>
      <c r="AD58" s="255"/>
      <c r="AE58" s="255"/>
      <c r="AG58" s="82"/>
      <c r="AH58" s="74" t="str">
        <f t="shared" si="25"/>
        <v/>
      </c>
      <c r="AI58" s="74" t="str">
        <f t="shared" si="25"/>
        <v/>
      </c>
      <c r="AJ58" s="74" t="str">
        <f t="shared" si="25"/>
        <v/>
      </c>
      <c r="AK58" s="74" t="str">
        <f t="shared" si="25"/>
        <v/>
      </c>
      <c r="AL58" s="74" t="str">
        <f t="shared" si="25"/>
        <v/>
      </c>
      <c r="AM58" s="74" t="str">
        <f t="shared" si="25"/>
        <v/>
      </c>
      <c r="AN58" s="74" t="str">
        <f t="shared" si="25"/>
        <v/>
      </c>
      <c r="AO58" s="74" t="str">
        <f t="shared" si="25"/>
        <v/>
      </c>
      <c r="AP58" s="74" t="str">
        <f t="shared" si="25"/>
        <v/>
      </c>
      <c r="AQ58" s="74" t="str">
        <f t="shared" si="25"/>
        <v/>
      </c>
      <c r="AR58" s="74" t="str">
        <f t="shared" si="26"/>
        <v/>
      </c>
      <c r="AS58" s="74" t="str">
        <f t="shared" si="26"/>
        <v/>
      </c>
      <c r="AT58" s="74" t="str">
        <f t="shared" si="26"/>
        <v/>
      </c>
      <c r="AU58" s="74" t="str">
        <f t="shared" si="26"/>
        <v/>
      </c>
      <c r="AV58" s="74" t="str">
        <f t="shared" si="26"/>
        <v/>
      </c>
      <c r="AW58" s="74" t="str">
        <f t="shared" si="26"/>
        <v/>
      </c>
      <c r="AX58" s="74" t="str">
        <f t="shared" si="26"/>
        <v/>
      </c>
      <c r="AY58" s="74" t="str">
        <f t="shared" si="26"/>
        <v/>
      </c>
      <c r="AZ58" s="74" t="str">
        <f t="shared" si="26"/>
        <v/>
      </c>
      <c r="BA58" s="74" t="str">
        <f t="shared" si="26"/>
        <v/>
      </c>
      <c r="BB58" s="74" t="str">
        <f t="shared" si="26"/>
        <v/>
      </c>
      <c r="BC58" s="74" t="str">
        <f t="shared" si="26"/>
        <v/>
      </c>
      <c r="BD58" s="74" t="str">
        <f t="shared" si="26"/>
        <v/>
      </c>
      <c r="BE58" s="74" t="str">
        <f t="shared" si="26"/>
        <v/>
      </c>
      <c r="BF58" s="74" t="str">
        <f t="shared" si="26"/>
        <v/>
      </c>
      <c r="BJ58" s="74" t="str">
        <f t="shared" si="27"/>
        <v/>
      </c>
      <c r="BK58" s="74" t="str">
        <f t="shared" si="27"/>
        <v/>
      </c>
      <c r="BL58" s="74" t="str">
        <f t="shared" si="27"/>
        <v/>
      </c>
      <c r="BM58" s="74" t="str">
        <f t="shared" si="27"/>
        <v/>
      </c>
      <c r="BN58" s="74" t="str">
        <f t="shared" si="27"/>
        <v/>
      </c>
      <c r="BO58" s="74" t="str">
        <f t="shared" si="27"/>
        <v/>
      </c>
      <c r="BP58" s="74" t="str">
        <f t="shared" si="27"/>
        <v/>
      </c>
      <c r="BQ58" s="74" t="str">
        <f t="shared" si="27"/>
        <v/>
      </c>
      <c r="BR58" s="74" t="str">
        <f t="shared" si="27"/>
        <v/>
      </c>
      <c r="BS58" s="74" t="str">
        <f t="shared" si="27"/>
        <v/>
      </c>
      <c r="BT58" s="74" t="str">
        <f t="shared" si="28"/>
        <v/>
      </c>
      <c r="BU58" s="74" t="str">
        <f t="shared" si="28"/>
        <v/>
      </c>
      <c r="BV58" s="74" t="str">
        <f t="shared" si="28"/>
        <v/>
      </c>
      <c r="BW58" s="74" t="str">
        <f t="shared" si="28"/>
        <v/>
      </c>
      <c r="BX58" s="74" t="str">
        <f t="shared" si="28"/>
        <v/>
      </c>
      <c r="BY58" s="74" t="str">
        <f t="shared" si="28"/>
        <v/>
      </c>
      <c r="BZ58" s="74" t="str">
        <f t="shared" si="28"/>
        <v/>
      </c>
      <c r="CA58" s="74" t="str">
        <f t="shared" si="28"/>
        <v/>
      </c>
      <c r="CB58" s="74" t="str">
        <f t="shared" si="28"/>
        <v/>
      </c>
      <c r="CC58" s="74" t="str">
        <f t="shared" si="28"/>
        <v/>
      </c>
      <c r="CD58" s="74" t="str">
        <f t="shared" si="28"/>
        <v/>
      </c>
      <c r="CE58" s="74" t="str">
        <f t="shared" si="28"/>
        <v/>
      </c>
      <c r="CF58" s="74" t="str">
        <f t="shared" si="28"/>
        <v/>
      </c>
      <c r="CG58" s="74" t="str">
        <f t="shared" si="28"/>
        <v/>
      </c>
      <c r="CH58" s="74" t="str">
        <f t="shared" si="28"/>
        <v/>
      </c>
    </row>
    <row r="59" spans="1:86" s="74" customFormat="1" ht="22.5">
      <c r="A59" s="180">
        <f t="shared" si="8"/>
        <v>41</v>
      </c>
      <c r="B59" s="321"/>
      <c r="C59" s="321"/>
      <c r="D59" s="104"/>
      <c r="E59" s="105" t="str">
        <f>IFERROR(VLOOKUP(D59,REFERENCES!$C$2:$D$60,2,0),"Do not write in this cell !")</f>
        <v>Do not write in this cell !</v>
      </c>
      <c r="F59" s="294"/>
      <c r="G59" s="296"/>
      <c r="H59" s="294"/>
      <c r="I59" s="295"/>
      <c r="J59" s="296"/>
      <c r="K59" s="153"/>
      <c r="L59" s="294"/>
      <c r="M59" s="295"/>
      <c r="N59" s="295"/>
      <c r="O59" s="296"/>
      <c r="P59" s="300"/>
      <c r="Q59" s="301"/>
      <c r="R59" s="302"/>
      <c r="S59" s="303"/>
      <c r="T59" s="304"/>
      <c r="U59" s="247"/>
      <c r="V59" s="247"/>
      <c r="W59" s="247" t="str">
        <f t="shared" si="13"/>
        <v/>
      </c>
      <c r="X59" s="106" t="str">
        <f>IF(U59="","Do not write in this cell !",VLOOKUP(W59,Liste!$A$18:$B$42,2,FALSE))</f>
        <v>Do not write in this cell !</v>
      </c>
      <c r="Y59" s="250"/>
      <c r="Z59" s="247"/>
      <c r="AA59" s="247"/>
      <c r="AB59" s="247" t="str">
        <f t="shared" si="14"/>
        <v/>
      </c>
      <c r="AC59" s="106" t="str">
        <f>IF(Z59="","Do not write in this cell !",VLOOKUP(AB59,Liste!$A$18:$B$42,2,FALSE))</f>
        <v>Do not write in this cell !</v>
      </c>
      <c r="AD59" s="255"/>
      <c r="AE59" s="255"/>
      <c r="AG59" s="82"/>
      <c r="AH59" s="74" t="str">
        <f t="shared" si="25"/>
        <v/>
      </c>
      <c r="AI59" s="74" t="str">
        <f t="shared" si="25"/>
        <v/>
      </c>
      <c r="AJ59" s="74" t="str">
        <f t="shared" si="25"/>
        <v/>
      </c>
      <c r="AK59" s="74" t="str">
        <f t="shared" si="25"/>
        <v/>
      </c>
      <c r="AL59" s="74" t="str">
        <f t="shared" si="25"/>
        <v/>
      </c>
      <c r="AM59" s="74" t="str">
        <f t="shared" si="25"/>
        <v/>
      </c>
      <c r="AN59" s="74" t="str">
        <f t="shared" si="25"/>
        <v/>
      </c>
      <c r="AO59" s="74" t="str">
        <f t="shared" si="25"/>
        <v/>
      </c>
      <c r="AP59" s="74" t="str">
        <f t="shared" si="25"/>
        <v/>
      </c>
      <c r="AQ59" s="74" t="str">
        <f t="shared" si="25"/>
        <v/>
      </c>
      <c r="AR59" s="74" t="str">
        <f t="shared" si="26"/>
        <v/>
      </c>
      <c r="AS59" s="74" t="str">
        <f t="shared" si="26"/>
        <v/>
      </c>
      <c r="AT59" s="74" t="str">
        <f t="shared" si="26"/>
        <v/>
      </c>
      <c r="AU59" s="74" t="str">
        <f t="shared" si="26"/>
        <v/>
      </c>
      <c r="AV59" s="74" t="str">
        <f t="shared" si="26"/>
        <v/>
      </c>
      <c r="AW59" s="74" t="str">
        <f t="shared" si="26"/>
        <v/>
      </c>
      <c r="AX59" s="74" t="str">
        <f t="shared" si="26"/>
        <v/>
      </c>
      <c r="AY59" s="74" t="str">
        <f t="shared" si="26"/>
        <v/>
      </c>
      <c r="AZ59" s="74" t="str">
        <f t="shared" si="26"/>
        <v/>
      </c>
      <c r="BA59" s="74" t="str">
        <f t="shared" si="26"/>
        <v/>
      </c>
      <c r="BB59" s="74" t="str">
        <f t="shared" si="26"/>
        <v/>
      </c>
      <c r="BC59" s="74" t="str">
        <f t="shared" si="26"/>
        <v/>
      </c>
      <c r="BD59" s="74" t="str">
        <f t="shared" si="26"/>
        <v/>
      </c>
      <c r="BE59" s="74" t="str">
        <f t="shared" si="26"/>
        <v/>
      </c>
      <c r="BF59" s="74" t="str">
        <f t="shared" si="26"/>
        <v/>
      </c>
      <c r="BJ59" s="74" t="str">
        <f t="shared" si="27"/>
        <v/>
      </c>
      <c r="BK59" s="74" t="str">
        <f t="shared" si="27"/>
        <v/>
      </c>
      <c r="BL59" s="74" t="str">
        <f t="shared" si="27"/>
        <v/>
      </c>
      <c r="BM59" s="74" t="str">
        <f t="shared" si="27"/>
        <v/>
      </c>
      <c r="BN59" s="74" t="str">
        <f t="shared" si="27"/>
        <v/>
      </c>
      <c r="BO59" s="74" t="str">
        <f t="shared" si="27"/>
        <v/>
      </c>
      <c r="BP59" s="74" t="str">
        <f t="shared" si="27"/>
        <v/>
      </c>
      <c r="BQ59" s="74" t="str">
        <f t="shared" si="27"/>
        <v/>
      </c>
      <c r="BR59" s="74" t="str">
        <f t="shared" si="27"/>
        <v/>
      </c>
      <c r="BS59" s="74" t="str">
        <f t="shared" si="27"/>
        <v/>
      </c>
      <c r="BT59" s="74" t="str">
        <f t="shared" si="28"/>
        <v/>
      </c>
      <c r="BU59" s="74" t="str">
        <f t="shared" si="28"/>
        <v/>
      </c>
      <c r="BV59" s="74" t="str">
        <f t="shared" si="28"/>
        <v/>
      </c>
      <c r="BW59" s="74" t="str">
        <f t="shared" si="28"/>
        <v/>
      </c>
      <c r="BX59" s="74" t="str">
        <f t="shared" si="28"/>
        <v/>
      </c>
      <c r="BY59" s="74" t="str">
        <f t="shared" si="28"/>
        <v/>
      </c>
      <c r="BZ59" s="74" t="str">
        <f t="shared" si="28"/>
        <v/>
      </c>
      <c r="CA59" s="74" t="str">
        <f t="shared" si="28"/>
        <v/>
      </c>
      <c r="CB59" s="74" t="str">
        <f t="shared" si="28"/>
        <v/>
      </c>
      <c r="CC59" s="74" t="str">
        <f t="shared" si="28"/>
        <v/>
      </c>
      <c r="CD59" s="74" t="str">
        <f t="shared" si="28"/>
        <v/>
      </c>
      <c r="CE59" s="74" t="str">
        <f t="shared" si="28"/>
        <v/>
      </c>
      <c r="CF59" s="74" t="str">
        <f t="shared" si="28"/>
        <v/>
      </c>
      <c r="CG59" s="74" t="str">
        <f t="shared" si="28"/>
        <v/>
      </c>
      <c r="CH59" s="74" t="str">
        <f t="shared" si="28"/>
        <v/>
      </c>
    </row>
    <row r="60" spans="1:86" s="74" customFormat="1" ht="22.5">
      <c r="A60" s="180">
        <f t="shared" si="8"/>
        <v>42</v>
      </c>
      <c r="B60" s="321"/>
      <c r="C60" s="321"/>
      <c r="D60" s="104"/>
      <c r="E60" s="105" t="str">
        <f>IFERROR(VLOOKUP(D60,REFERENCES!$C$2:$D$60,2,0),"Do not write in this cell !")</f>
        <v>Do not write in this cell !</v>
      </c>
      <c r="F60" s="294"/>
      <c r="G60" s="296"/>
      <c r="H60" s="294"/>
      <c r="I60" s="295"/>
      <c r="J60" s="296"/>
      <c r="K60" s="153"/>
      <c r="L60" s="294"/>
      <c r="M60" s="295"/>
      <c r="N60" s="295"/>
      <c r="O60" s="296"/>
      <c r="P60" s="300"/>
      <c r="Q60" s="301"/>
      <c r="R60" s="302"/>
      <c r="S60" s="303"/>
      <c r="T60" s="304"/>
      <c r="U60" s="247"/>
      <c r="V60" s="247"/>
      <c r="W60" s="247" t="str">
        <f t="shared" si="13"/>
        <v/>
      </c>
      <c r="X60" s="106" t="str">
        <f>IF(U60="","Do not write in this cell !",VLOOKUP(W60,Liste!$A$18:$B$42,2,FALSE))</f>
        <v>Do not write in this cell !</v>
      </c>
      <c r="Y60" s="250"/>
      <c r="Z60" s="247"/>
      <c r="AA60" s="247"/>
      <c r="AB60" s="247" t="str">
        <f t="shared" si="14"/>
        <v/>
      </c>
      <c r="AC60" s="106" t="str">
        <f>IF(Z60="","Do not write in this cell !",VLOOKUP(AB60,Liste!$A$18:$B$42,2,FALSE))</f>
        <v>Do not write in this cell !</v>
      </c>
      <c r="AD60" s="255"/>
      <c r="AE60" s="255"/>
      <c r="AG60" s="82"/>
      <c r="AH60" s="74" t="str">
        <f t="shared" ref="AH60:AQ68" si="29">IF($V60&amp;$U60=AH$18,$A60,"")</f>
        <v/>
      </c>
      <c r="AI60" s="74" t="str">
        <f t="shared" si="29"/>
        <v/>
      </c>
      <c r="AJ60" s="74" t="str">
        <f t="shared" si="29"/>
        <v/>
      </c>
      <c r="AK60" s="74" t="str">
        <f t="shared" si="29"/>
        <v/>
      </c>
      <c r="AL60" s="74" t="str">
        <f t="shared" si="29"/>
        <v/>
      </c>
      <c r="AM60" s="74" t="str">
        <f t="shared" si="29"/>
        <v/>
      </c>
      <c r="AN60" s="74" t="str">
        <f t="shared" si="29"/>
        <v/>
      </c>
      <c r="AO60" s="74" t="str">
        <f t="shared" si="29"/>
        <v/>
      </c>
      <c r="AP60" s="74" t="str">
        <f t="shared" si="29"/>
        <v/>
      </c>
      <c r="AQ60" s="74" t="str">
        <f t="shared" si="29"/>
        <v/>
      </c>
      <c r="AR60" s="74" t="str">
        <f t="shared" ref="AR60:BF68" si="30">IF($V60&amp;$U60=AR$18,$A60,"")</f>
        <v/>
      </c>
      <c r="AS60" s="74" t="str">
        <f t="shared" si="30"/>
        <v/>
      </c>
      <c r="AT60" s="74" t="str">
        <f t="shared" si="30"/>
        <v/>
      </c>
      <c r="AU60" s="74" t="str">
        <f t="shared" si="30"/>
        <v/>
      </c>
      <c r="AV60" s="74" t="str">
        <f t="shared" si="30"/>
        <v/>
      </c>
      <c r="AW60" s="74" t="str">
        <f t="shared" si="30"/>
        <v/>
      </c>
      <c r="AX60" s="74" t="str">
        <f t="shared" si="30"/>
        <v/>
      </c>
      <c r="AY60" s="74" t="str">
        <f t="shared" si="30"/>
        <v/>
      </c>
      <c r="AZ60" s="74" t="str">
        <f t="shared" si="30"/>
        <v/>
      </c>
      <c r="BA60" s="74" t="str">
        <f t="shared" si="30"/>
        <v/>
      </c>
      <c r="BB60" s="74" t="str">
        <f t="shared" si="30"/>
        <v/>
      </c>
      <c r="BC60" s="74" t="str">
        <f t="shared" si="30"/>
        <v/>
      </c>
      <c r="BD60" s="74" t="str">
        <f t="shared" si="30"/>
        <v/>
      </c>
      <c r="BE60" s="74" t="str">
        <f t="shared" si="30"/>
        <v/>
      </c>
      <c r="BF60" s="74" t="str">
        <f t="shared" si="30"/>
        <v/>
      </c>
      <c r="BJ60" s="74" t="str">
        <f t="shared" ref="BJ60:BS68" si="31">IF($AA60&amp;$Z60=BJ$18,$A60,"")</f>
        <v/>
      </c>
      <c r="BK60" s="74" t="str">
        <f t="shared" si="31"/>
        <v/>
      </c>
      <c r="BL60" s="74" t="str">
        <f t="shared" si="31"/>
        <v/>
      </c>
      <c r="BM60" s="74" t="str">
        <f t="shared" si="31"/>
        <v/>
      </c>
      <c r="BN60" s="74" t="str">
        <f t="shared" si="31"/>
        <v/>
      </c>
      <c r="BO60" s="74" t="str">
        <f t="shared" si="31"/>
        <v/>
      </c>
      <c r="BP60" s="74" t="str">
        <f t="shared" si="31"/>
        <v/>
      </c>
      <c r="BQ60" s="74" t="str">
        <f t="shared" si="31"/>
        <v/>
      </c>
      <c r="BR60" s="74" t="str">
        <f t="shared" si="31"/>
        <v/>
      </c>
      <c r="BS60" s="74" t="str">
        <f t="shared" si="31"/>
        <v/>
      </c>
      <c r="BT60" s="74" t="str">
        <f t="shared" ref="BT60:CH68" si="32">IF($AA60&amp;$Z60=BT$18,$A60,"")</f>
        <v/>
      </c>
      <c r="BU60" s="74" t="str">
        <f t="shared" si="32"/>
        <v/>
      </c>
      <c r="BV60" s="74" t="str">
        <f t="shared" si="32"/>
        <v/>
      </c>
      <c r="BW60" s="74" t="str">
        <f t="shared" si="32"/>
        <v/>
      </c>
      <c r="BX60" s="74" t="str">
        <f t="shared" si="32"/>
        <v/>
      </c>
      <c r="BY60" s="74" t="str">
        <f t="shared" si="32"/>
        <v/>
      </c>
      <c r="BZ60" s="74" t="str">
        <f t="shared" si="32"/>
        <v/>
      </c>
      <c r="CA60" s="74" t="str">
        <f t="shared" si="32"/>
        <v/>
      </c>
      <c r="CB60" s="74" t="str">
        <f t="shared" si="32"/>
        <v/>
      </c>
      <c r="CC60" s="74" t="str">
        <f t="shared" si="32"/>
        <v/>
      </c>
      <c r="CD60" s="74" t="str">
        <f t="shared" si="32"/>
        <v/>
      </c>
      <c r="CE60" s="74" t="str">
        <f t="shared" si="32"/>
        <v/>
      </c>
      <c r="CF60" s="74" t="str">
        <f t="shared" si="32"/>
        <v/>
      </c>
      <c r="CG60" s="74" t="str">
        <f t="shared" si="32"/>
        <v/>
      </c>
      <c r="CH60" s="74" t="str">
        <f t="shared" si="32"/>
        <v/>
      </c>
    </row>
    <row r="61" spans="1:86" s="74" customFormat="1" ht="22.5">
      <c r="A61" s="180">
        <f t="shared" si="8"/>
        <v>43</v>
      </c>
      <c r="B61" s="321"/>
      <c r="C61" s="321"/>
      <c r="D61" s="104"/>
      <c r="E61" s="105" t="str">
        <f>IFERROR(VLOOKUP(D61,REFERENCES!$C$2:$D$60,2,0),"Do not write in this cell !")</f>
        <v>Do not write in this cell !</v>
      </c>
      <c r="F61" s="294"/>
      <c r="G61" s="296"/>
      <c r="H61" s="294"/>
      <c r="I61" s="295"/>
      <c r="J61" s="296"/>
      <c r="K61" s="153"/>
      <c r="L61" s="294"/>
      <c r="M61" s="295"/>
      <c r="N61" s="295"/>
      <c r="O61" s="296"/>
      <c r="P61" s="300"/>
      <c r="Q61" s="301"/>
      <c r="R61" s="302"/>
      <c r="S61" s="303"/>
      <c r="T61" s="304"/>
      <c r="U61" s="247"/>
      <c r="V61" s="247"/>
      <c r="W61" s="247" t="str">
        <f t="shared" si="13"/>
        <v/>
      </c>
      <c r="X61" s="106" t="str">
        <f>IF(U61="","Do not write in this cell !",VLOOKUP(W61,Liste!$A$18:$B$42,2,FALSE))</f>
        <v>Do not write in this cell !</v>
      </c>
      <c r="Y61" s="250"/>
      <c r="Z61" s="247"/>
      <c r="AA61" s="247"/>
      <c r="AB61" s="247" t="str">
        <f t="shared" si="14"/>
        <v/>
      </c>
      <c r="AC61" s="106" t="str">
        <f>IF(Z61="","Do not write in this cell !",VLOOKUP(AB61,Liste!$A$18:$B$42,2,FALSE))</f>
        <v>Do not write in this cell !</v>
      </c>
      <c r="AD61" s="255"/>
      <c r="AE61" s="255"/>
      <c r="AG61" s="82"/>
      <c r="AH61" s="74" t="str">
        <f t="shared" si="29"/>
        <v/>
      </c>
      <c r="AI61" s="74" t="str">
        <f t="shared" si="29"/>
        <v/>
      </c>
      <c r="AJ61" s="74" t="str">
        <f t="shared" si="29"/>
        <v/>
      </c>
      <c r="AK61" s="74" t="str">
        <f t="shared" si="29"/>
        <v/>
      </c>
      <c r="AL61" s="74" t="str">
        <f t="shared" si="29"/>
        <v/>
      </c>
      <c r="AM61" s="74" t="str">
        <f t="shared" si="29"/>
        <v/>
      </c>
      <c r="AN61" s="74" t="str">
        <f t="shared" si="29"/>
        <v/>
      </c>
      <c r="AO61" s="74" t="str">
        <f t="shared" si="29"/>
        <v/>
      </c>
      <c r="AP61" s="74" t="str">
        <f t="shared" si="29"/>
        <v/>
      </c>
      <c r="AQ61" s="74" t="str">
        <f t="shared" si="29"/>
        <v/>
      </c>
      <c r="AR61" s="74" t="str">
        <f t="shared" si="30"/>
        <v/>
      </c>
      <c r="AS61" s="74" t="str">
        <f t="shared" si="30"/>
        <v/>
      </c>
      <c r="AT61" s="74" t="str">
        <f t="shared" si="30"/>
        <v/>
      </c>
      <c r="AU61" s="74" t="str">
        <f t="shared" si="30"/>
        <v/>
      </c>
      <c r="AV61" s="74" t="str">
        <f t="shared" si="30"/>
        <v/>
      </c>
      <c r="AW61" s="74" t="str">
        <f t="shared" si="30"/>
        <v/>
      </c>
      <c r="AX61" s="74" t="str">
        <f t="shared" si="30"/>
        <v/>
      </c>
      <c r="AY61" s="74" t="str">
        <f t="shared" si="30"/>
        <v/>
      </c>
      <c r="AZ61" s="74" t="str">
        <f t="shared" si="30"/>
        <v/>
      </c>
      <c r="BA61" s="74" t="str">
        <f t="shared" si="30"/>
        <v/>
      </c>
      <c r="BB61" s="74" t="str">
        <f t="shared" si="30"/>
        <v/>
      </c>
      <c r="BC61" s="74" t="str">
        <f t="shared" si="30"/>
        <v/>
      </c>
      <c r="BD61" s="74" t="str">
        <f t="shared" si="30"/>
        <v/>
      </c>
      <c r="BE61" s="74" t="str">
        <f t="shared" si="30"/>
        <v/>
      </c>
      <c r="BF61" s="74" t="str">
        <f t="shared" si="30"/>
        <v/>
      </c>
      <c r="BJ61" s="74" t="str">
        <f t="shared" si="31"/>
        <v/>
      </c>
      <c r="BK61" s="74" t="str">
        <f t="shared" si="31"/>
        <v/>
      </c>
      <c r="BL61" s="74" t="str">
        <f t="shared" si="31"/>
        <v/>
      </c>
      <c r="BM61" s="74" t="str">
        <f t="shared" si="31"/>
        <v/>
      </c>
      <c r="BN61" s="74" t="str">
        <f t="shared" si="31"/>
        <v/>
      </c>
      <c r="BO61" s="74" t="str">
        <f t="shared" si="31"/>
        <v/>
      </c>
      <c r="BP61" s="74" t="str">
        <f t="shared" si="31"/>
        <v/>
      </c>
      <c r="BQ61" s="74" t="str">
        <f t="shared" si="31"/>
        <v/>
      </c>
      <c r="BR61" s="74" t="str">
        <f t="shared" si="31"/>
        <v/>
      </c>
      <c r="BS61" s="74" t="str">
        <f t="shared" si="31"/>
        <v/>
      </c>
      <c r="BT61" s="74" t="str">
        <f t="shared" si="32"/>
        <v/>
      </c>
      <c r="BU61" s="74" t="str">
        <f t="shared" si="32"/>
        <v/>
      </c>
      <c r="BV61" s="74" t="str">
        <f t="shared" si="32"/>
        <v/>
      </c>
      <c r="BW61" s="74" t="str">
        <f t="shared" si="32"/>
        <v/>
      </c>
      <c r="BX61" s="74" t="str">
        <f t="shared" si="32"/>
        <v/>
      </c>
      <c r="BY61" s="74" t="str">
        <f t="shared" si="32"/>
        <v/>
      </c>
      <c r="BZ61" s="74" t="str">
        <f t="shared" si="32"/>
        <v/>
      </c>
      <c r="CA61" s="74" t="str">
        <f t="shared" si="32"/>
        <v/>
      </c>
      <c r="CB61" s="74" t="str">
        <f t="shared" si="32"/>
        <v/>
      </c>
      <c r="CC61" s="74" t="str">
        <f t="shared" si="32"/>
        <v/>
      </c>
      <c r="CD61" s="74" t="str">
        <f t="shared" si="32"/>
        <v/>
      </c>
      <c r="CE61" s="74" t="str">
        <f t="shared" si="32"/>
        <v/>
      </c>
      <c r="CF61" s="74" t="str">
        <f t="shared" si="32"/>
        <v/>
      </c>
      <c r="CG61" s="74" t="str">
        <f t="shared" si="32"/>
        <v/>
      </c>
      <c r="CH61" s="74" t="str">
        <f t="shared" si="32"/>
        <v/>
      </c>
    </row>
    <row r="62" spans="1:86" s="74" customFormat="1" ht="22.5">
      <c r="A62" s="180">
        <f t="shared" si="8"/>
        <v>44</v>
      </c>
      <c r="B62" s="321"/>
      <c r="C62" s="321"/>
      <c r="D62" s="104"/>
      <c r="E62" s="105" t="str">
        <f>IFERROR(VLOOKUP(D62,REFERENCES!$C$2:$D$60,2,0),"Do not write in this cell !")</f>
        <v>Do not write in this cell !</v>
      </c>
      <c r="F62" s="294"/>
      <c r="G62" s="296"/>
      <c r="H62" s="294"/>
      <c r="I62" s="295"/>
      <c r="J62" s="296"/>
      <c r="K62" s="153"/>
      <c r="L62" s="294"/>
      <c r="M62" s="295"/>
      <c r="N62" s="295"/>
      <c r="O62" s="296"/>
      <c r="P62" s="300"/>
      <c r="Q62" s="301"/>
      <c r="R62" s="302"/>
      <c r="S62" s="303"/>
      <c r="T62" s="304"/>
      <c r="U62" s="247"/>
      <c r="V62" s="247"/>
      <c r="W62" s="247" t="str">
        <f t="shared" si="13"/>
        <v/>
      </c>
      <c r="X62" s="106" t="str">
        <f>IF(U62="","Do not write in this cell !",VLOOKUP(W62,Liste!$A$18:$B$42,2,FALSE))</f>
        <v>Do not write in this cell !</v>
      </c>
      <c r="Y62" s="250"/>
      <c r="Z62" s="247"/>
      <c r="AA62" s="247"/>
      <c r="AB62" s="247" t="str">
        <f t="shared" si="14"/>
        <v/>
      </c>
      <c r="AC62" s="106" t="str">
        <f>IF(Z62="","Do not write in this cell !",VLOOKUP(AB62,Liste!$A$18:$B$42,2,FALSE))</f>
        <v>Do not write in this cell !</v>
      </c>
      <c r="AD62" s="255"/>
      <c r="AE62" s="255"/>
      <c r="AG62" s="82"/>
      <c r="AH62" s="74" t="str">
        <f t="shared" si="29"/>
        <v/>
      </c>
      <c r="AI62" s="74" t="str">
        <f t="shared" si="29"/>
        <v/>
      </c>
      <c r="AJ62" s="74" t="str">
        <f t="shared" si="29"/>
        <v/>
      </c>
      <c r="AK62" s="74" t="str">
        <f t="shared" si="29"/>
        <v/>
      </c>
      <c r="AL62" s="74" t="str">
        <f t="shared" si="29"/>
        <v/>
      </c>
      <c r="AM62" s="74" t="str">
        <f t="shared" si="29"/>
        <v/>
      </c>
      <c r="AN62" s="74" t="str">
        <f t="shared" si="29"/>
        <v/>
      </c>
      <c r="AO62" s="74" t="str">
        <f t="shared" si="29"/>
        <v/>
      </c>
      <c r="AP62" s="74" t="str">
        <f t="shared" si="29"/>
        <v/>
      </c>
      <c r="AQ62" s="74" t="str">
        <f t="shared" si="29"/>
        <v/>
      </c>
      <c r="AR62" s="74" t="str">
        <f t="shared" si="30"/>
        <v/>
      </c>
      <c r="AS62" s="74" t="str">
        <f t="shared" si="30"/>
        <v/>
      </c>
      <c r="AT62" s="74" t="str">
        <f t="shared" si="30"/>
        <v/>
      </c>
      <c r="AU62" s="74" t="str">
        <f t="shared" si="30"/>
        <v/>
      </c>
      <c r="AV62" s="74" t="str">
        <f t="shared" si="30"/>
        <v/>
      </c>
      <c r="AW62" s="74" t="str">
        <f t="shared" si="30"/>
        <v/>
      </c>
      <c r="AX62" s="74" t="str">
        <f t="shared" si="30"/>
        <v/>
      </c>
      <c r="AY62" s="74" t="str">
        <f t="shared" si="30"/>
        <v/>
      </c>
      <c r="AZ62" s="74" t="str">
        <f t="shared" si="30"/>
        <v/>
      </c>
      <c r="BA62" s="74" t="str">
        <f t="shared" si="30"/>
        <v/>
      </c>
      <c r="BB62" s="74" t="str">
        <f t="shared" si="30"/>
        <v/>
      </c>
      <c r="BC62" s="74" t="str">
        <f t="shared" si="30"/>
        <v/>
      </c>
      <c r="BD62" s="74" t="str">
        <f t="shared" si="30"/>
        <v/>
      </c>
      <c r="BE62" s="74" t="str">
        <f t="shared" si="30"/>
        <v/>
      </c>
      <c r="BF62" s="74" t="str">
        <f t="shared" si="30"/>
        <v/>
      </c>
      <c r="BJ62" s="74" t="str">
        <f t="shared" si="31"/>
        <v/>
      </c>
      <c r="BK62" s="74" t="str">
        <f t="shared" si="31"/>
        <v/>
      </c>
      <c r="BL62" s="74" t="str">
        <f t="shared" si="31"/>
        <v/>
      </c>
      <c r="BM62" s="74" t="str">
        <f t="shared" si="31"/>
        <v/>
      </c>
      <c r="BN62" s="74" t="str">
        <f t="shared" si="31"/>
        <v/>
      </c>
      <c r="BO62" s="74" t="str">
        <f t="shared" si="31"/>
        <v/>
      </c>
      <c r="BP62" s="74" t="str">
        <f t="shared" si="31"/>
        <v/>
      </c>
      <c r="BQ62" s="74" t="str">
        <f t="shared" si="31"/>
        <v/>
      </c>
      <c r="BR62" s="74" t="str">
        <f t="shared" si="31"/>
        <v/>
      </c>
      <c r="BS62" s="74" t="str">
        <f t="shared" si="31"/>
        <v/>
      </c>
      <c r="BT62" s="74" t="str">
        <f t="shared" si="32"/>
        <v/>
      </c>
      <c r="BU62" s="74" t="str">
        <f t="shared" si="32"/>
        <v/>
      </c>
      <c r="BV62" s="74" t="str">
        <f t="shared" si="32"/>
        <v/>
      </c>
      <c r="BW62" s="74" t="str">
        <f t="shared" si="32"/>
        <v/>
      </c>
      <c r="BX62" s="74" t="str">
        <f t="shared" si="32"/>
        <v/>
      </c>
      <c r="BY62" s="74" t="str">
        <f t="shared" si="32"/>
        <v/>
      </c>
      <c r="BZ62" s="74" t="str">
        <f t="shared" si="32"/>
        <v/>
      </c>
      <c r="CA62" s="74" t="str">
        <f t="shared" si="32"/>
        <v/>
      </c>
      <c r="CB62" s="74" t="str">
        <f t="shared" si="32"/>
        <v/>
      </c>
      <c r="CC62" s="74" t="str">
        <f t="shared" si="32"/>
        <v/>
      </c>
      <c r="CD62" s="74" t="str">
        <f t="shared" si="32"/>
        <v/>
      </c>
      <c r="CE62" s="74" t="str">
        <f t="shared" si="32"/>
        <v/>
      </c>
      <c r="CF62" s="74" t="str">
        <f t="shared" si="32"/>
        <v/>
      </c>
      <c r="CG62" s="74" t="str">
        <f t="shared" si="32"/>
        <v/>
      </c>
      <c r="CH62" s="74" t="str">
        <f t="shared" si="32"/>
        <v/>
      </c>
    </row>
    <row r="63" spans="1:86" s="74" customFormat="1" ht="22.5">
      <c r="A63" s="180">
        <f t="shared" si="8"/>
        <v>45</v>
      </c>
      <c r="B63" s="321"/>
      <c r="C63" s="321"/>
      <c r="D63" s="104"/>
      <c r="E63" s="105" t="str">
        <f>IFERROR(VLOOKUP(D63,REFERENCES!$C$2:$D$60,2,0),"Do not write in this cell !")</f>
        <v>Do not write in this cell !</v>
      </c>
      <c r="F63" s="294"/>
      <c r="G63" s="296"/>
      <c r="H63" s="294"/>
      <c r="I63" s="295"/>
      <c r="J63" s="296"/>
      <c r="K63" s="153"/>
      <c r="L63" s="294"/>
      <c r="M63" s="295"/>
      <c r="N63" s="295"/>
      <c r="O63" s="296"/>
      <c r="P63" s="300"/>
      <c r="Q63" s="301"/>
      <c r="R63" s="302"/>
      <c r="S63" s="303"/>
      <c r="T63" s="304"/>
      <c r="U63" s="247"/>
      <c r="V63" s="247"/>
      <c r="W63" s="247" t="str">
        <f t="shared" si="13"/>
        <v/>
      </c>
      <c r="X63" s="106" t="str">
        <f>IF(U63="","Do not write in this cell !",VLOOKUP(W63,Liste!$A$18:$B$42,2,FALSE))</f>
        <v>Do not write in this cell !</v>
      </c>
      <c r="Y63" s="250"/>
      <c r="Z63" s="247"/>
      <c r="AA63" s="247"/>
      <c r="AB63" s="247" t="str">
        <f t="shared" si="14"/>
        <v/>
      </c>
      <c r="AC63" s="106" t="str">
        <f>IF(Z63="","Do not write in this cell !",VLOOKUP(AB63,Liste!$A$18:$B$42,2,FALSE))</f>
        <v>Do not write in this cell !</v>
      </c>
      <c r="AD63" s="255"/>
      <c r="AE63" s="255"/>
      <c r="AG63" s="82"/>
      <c r="AH63" s="74" t="str">
        <f t="shared" si="29"/>
        <v/>
      </c>
      <c r="AI63" s="74" t="str">
        <f t="shared" si="29"/>
        <v/>
      </c>
      <c r="AJ63" s="74" t="str">
        <f t="shared" si="29"/>
        <v/>
      </c>
      <c r="AK63" s="74" t="str">
        <f t="shared" si="29"/>
        <v/>
      </c>
      <c r="AL63" s="74" t="str">
        <f t="shared" si="29"/>
        <v/>
      </c>
      <c r="AM63" s="74" t="str">
        <f t="shared" si="29"/>
        <v/>
      </c>
      <c r="AN63" s="74" t="str">
        <f t="shared" si="29"/>
        <v/>
      </c>
      <c r="AO63" s="74" t="str">
        <f t="shared" si="29"/>
        <v/>
      </c>
      <c r="AP63" s="74" t="str">
        <f t="shared" si="29"/>
        <v/>
      </c>
      <c r="AQ63" s="74" t="str">
        <f t="shared" si="29"/>
        <v/>
      </c>
      <c r="AR63" s="74" t="str">
        <f t="shared" si="30"/>
        <v/>
      </c>
      <c r="AS63" s="74" t="str">
        <f t="shared" si="30"/>
        <v/>
      </c>
      <c r="AT63" s="74" t="str">
        <f t="shared" si="30"/>
        <v/>
      </c>
      <c r="AU63" s="74" t="str">
        <f t="shared" si="30"/>
        <v/>
      </c>
      <c r="AV63" s="74" t="str">
        <f t="shared" si="30"/>
        <v/>
      </c>
      <c r="AW63" s="74" t="str">
        <f t="shared" si="30"/>
        <v/>
      </c>
      <c r="AX63" s="74" t="str">
        <f t="shared" si="30"/>
        <v/>
      </c>
      <c r="AY63" s="74" t="str">
        <f t="shared" si="30"/>
        <v/>
      </c>
      <c r="AZ63" s="74" t="str">
        <f t="shared" si="30"/>
        <v/>
      </c>
      <c r="BA63" s="74" t="str">
        <f t="shared" si="30"/>
        <v/>
      </c>
      <c r="BB63" s="74" t="str">
        <f t="shared" si="30"/>
        <v/>
      </c>
      <c r="BC63" s="74" t="str">
        <f t="shared" si="30"/>
        <v/>
      </c>
      <c r="BD63" s="74" t="str">
        <f t="shared" si="30"/>
        <v/>
      </c>
      <c r="BE63" s="74" t="str">
        <f t="shared" si="30"/>
        <v/>
      </c>
      <c r="BF63" s="74" t="str">
        <f t="shared" si="30"/>
        <v/>
      </c>
      <c r="BJ63" s="74" t="str">
        <f t="shared" si="31"/>
        <v/>
      </c>
      <c r="BK63" s="74" t="str">
        <f t="shared" si="31"/>
        <v/>
      </c>
      <c r="BL63" s="74" t="str">
        <f t="shared" si="31"/>
        <v/>
      </c>
      <c r="BM63" s="74" t="str">
        <f t="shared" si="31"/>
        <v/>
      </c>
      <c r="BN63" s="74" t="str">
        <f t="shared" si="31"/>
        <v/>
      </c>
      <c r="BO63" s="74" t="str">
        <f t="shared" si="31"/>
        <v/>
      </c>
      <c r="BP63" s="74" t="str">
        <f t="shared" si="31"/>
        <v/>
      </c>
      <c r="BQ63" s="74" t="str">
        <f t="shared" si="31"/>
        <v/>
      </c>
      <c r="BR63" s="74" t="str">
        <f t="shared" si="31"/>
        <v/>
      </c>
      <c r="BS63" s="74" t="str">
        <f t="shared" si="31"/>
        <v/>
      </c>
      <c r="BT63" s="74" t="str">
        <f t="shared" si="32"/>
        <v/>
      </c>
      <c r="BU63" s="74" t="str">
        <f t="shared" si="32"/>
        <v/>
      </c>
      <c r="BV63" s="74" t="str">
        <f t="shared" si="32"/>
        <v/>
      </c>
      <c r="BW63" s="74" t="str">
        <f t="shared" si="32"/>
        <v/>
      </c>
      <c r="BX63" s="74" t="str">
        <f t="shared" si="32"/>
        <v/>
      </c>
      <c r="BY63" s="74" t="str">
        <f t="shared" si="32"/>
        <v/>
      </c>
      <c r="BZ63" s="74" t="str">
        <f t="shared" si="32"/>
        <v/>
      </c>
      <c r="CA63" s="74" t="str">
        <f t="shared" si="32"/>
        <v/>
      </c>
      <c r="CB63" s="74" t="str">
        <f t="shared" si="32"/>
        <v/>
      </c>
      <c r="CC63" s="74" t="str">
        <f t="shared" si="32"/>
        <v/>
      </c>
      <c r="CD63" s="74" t="str">
        <f t="shared" si="32"/>
        <v/>
      </c>
      <c r="CE63" s="74" t="str">
        <f t="shared" si="32"/>
        <v/>
      </c>
      <c r="CF63" s="74" t="str">
        <f t="shared" si="32"/>
        <v/>
      </c>
      <c r="CG63" s="74" t="str">
        <f t="shared" si="32"/>
        <v/>
      </c>
      <c r="CH63" s="74" t="str">
        <f t="shared" si="32"/>
        <v/>
      </c>
    </row>
    <row r="64" spans="1:86" s="74" customFormat="1" ht="22.5">
      <c r="A64" s="180">
        <f t="shared" si="8"/>
        <v>46</v>
      </c>
      <c r="B64" s="321"/>
      <c r="C64" s="321"/>
      <c r="D64" s="104"/>
      <c r="E64" s="105" t="str">
        <f>IFERROR(VLOOKUP(D64,REFERENCES!$C$2:$D$60,2,0),"Do not write in this cell !")</f>
        <v>Do not write in this cell !</v>
      </c>
      <c r="F64" s="294"/>
      <c r="G64" s="296"/>
      <c r="H64" s="294"/>
      <c r="I64" s="295"/>
      <c r="J64" s="296"/>
      <c r="K64" s="153"/>
      <c r="L64" s="294"/>
      <c r="M64" s="295"/>
      <c r="N64" s="295"/>
      <c r="O64" s="296"/>
      <c r="P64" s="300"/>
      <c r="Q64" s="301"/>
      <c r="R64" s="302"/>
      <c r="S64" s="303"/>
      <c r="T64" s="304"/>
      <c r="U64" s="247"/>
      <c r="V64" s="247"/>
      <c r="W64" s="247" t="str">
        <f t="shared" si="13"/>
        <v/>
      </c>
      <c r="X64" s="106" t="str">
        <f>IF(U64="","Do not write in this cell !",VLOOKUP(W64,Liste!$A$18:$B$42,2,FALSE))</f>
        <v>Do not write in this cell !</v>
      </c>
      <c r="Y64" s="250"/>
      <c r="Z64" s="247"/>
      <c r="AA64" s="247"/>
      <c r="AB64" s="247" t="str">
        <f t="shared" si="14"/>
        <v/>
      </c>
      <c r="AC64" s="106" t="str">
        <f>IF(Z64="","Do not write in this cell !",VLOOKUP(AB64,Liste!$A$18:$B$42,2,FALSE))</f>
        <v>Do not write in this cell !</v>
      </c>
      <c r="AD64" s="255"/>
      <c r="AE64" s="255"/>
      <c r="AG64" s="82"/>
      <c r="AH64" s="74" t="str">
        <f t="shared" si="29"/>
        <v/>
      </c>
      <c r="AI64" s="74" t="str">
        <f t="shared" si="29"/>
        <v/>
      </c>
      <c r="AJ64" s="74" t="str">
        <f t="shared" si="29"/>
        <v/>
      </c>
      <c r="AK64" s="74" t="str">
        <f t="shared" si="29"/>
        <v/>
      </c>
      <c r="AL64" s="74" t="str">
        <f t="shared" si="29"/>
        <v/>
      </c>
      <c r="AM64" s="74" t="str">
        <f t="shared" si="29"/>
        <v/>
      </c>
      <c r="AN64" s="74" t="str">
        <f t="shared" si="29"/>
        <v/>
      </c>
      <c r="AO64" s="74" t="str">
        <f t="shared" si="29"/>
        <v/>
      </c>
      <c r="AP64" s="74" t="str">
        <f t="shared" si="29"/>
        <v/>
      </c>
      <c r="AQ64" s="74" t="str">
        <f t="shared" si="29"/>
        <v/>
      </c>
      <c r="AR64" s="74" t="str">
        <f t="shared" si="30"/>
        <v/>
      </c>
      <c r="AS64" s="74" t="str">
        <f t="shared" si="30"/>
        <v/>
      </c>
      <c r="AT64" s="74" t="str">
        <f t="shared" si="30"/>
        <v/>
      </c>
      <c r="AU64" s="74" t="str">
        <f t="shared" si="30"/>
        <v/>
      </c>
      <c r="AV64" s="74" t="str">
        <f t="shared" si="30"/>
        <v/>
      </c>
      <c r="AW64" s="74" t="str">
        <f t="shared" si="30"/>
        <v/>
      </c>
      <c r="AX64" s="74" t="str">
        <f t="shared" si="30"/>
        <v/>
      </c>
      <c r="AY64" s="74" t="str">
        <f t="shared" si="30"/>
        <v/>
      </c>
      <c r="AZ64" s="74" t="str">
        <f t="shared" si="30"/>
        <v/>
      </c>
      <c r="BA64" s="74" t="str">
        <f t="shared" si="30"/>
        <v/>
      </c>
      <c r="BB64" s="74" t="str">
        <f t="shared" si="30"/>
        <v/>
      </c>
      <c r="BC64" s="74" t="str">
        <f t="shared" si="30"/>
        <v/>
      </c>
      <c r="BD64" s="74" t="str">
        <f t="shared" si="30"/>
        <v/>
      </c>
      <c r="BE64" s="74" t="str">
        <f t="shared" si="30"/>
        <v/>
      </c>
      <c r="BF64" s="74" t="str">
        <f t="shared" si="30"/>
        <v/>
      </c>
      <c r="BJ64" s="74" t="str">
        <f t="shared" si="31"/>
        <v/>
      </c>
      <c r="BK64" s="74" t="str">
        <f t="shared" si="31"/>
        <v/>
      </c>
      <c r="BL64" s="74" t="str">
        <f t="shared" si="31"/>
        <v/>
      </c>
      <c r="BM64" s="74" t="str">
        <f t="shared" si="31"/>
        <v/>
      </c>
      <c r="BN64" s="74" t="str">
        <f t="shared" si="31"/>
        <v/>
      </c>
      <c r="BO64" s="74" t="str">
        <f t="shared" si="31"/>
        <v/>
      </c>
      <c r="BP64" s="74" t="str">
        <f t="shared" si="31"/>
        <v/>
      </c>
      <c r="BQ64" s="74" t="str">
        <f t="shared" si="31"/>
        <v/>
      </c>
      <c r="BR64" s="74" t="str">
        <f t="shared" si="31"/>
        <v/>
      </c>
      <c r="BS64" s="74" t="str">
        <f t="shared" si="31"/>
        <v/>
      </c>
      <c r="BT64" s="74" t="str">
        <f t="shared" si="32"/>
        <v/>
      </c>
      <c r="BU64" s="74" t="str">
        <f t="shared" si="32"/>
        <v/>
      </c>
      <c r="BV64" s="74" t="str">
        <f t="shared" si="32"/>
        <v/>
      </c>
      <c r="BW64" s="74" t="str">
        <f t="shared" si="32"/>
        <v/>
      </c>
      <c r="BX64" s="74" t="str">
        <f t="shared" si="32"/>
        <v/>
      </c>
      <c r="BY64" s="74" t="str">
        <f t="shared" si="32"/>
        <v/>
      </c>
      <c r="BZ64" s="74" t="str">
        <f t="shared" si="32"/>
        <v/>
      </c>
      <c r="CA64" s="74" t="str">
        <f t="shared" si="32"/>
        <v/>
      </c>
      <c r="CB64" s="74" t="str">
        <f t="shared" si="32"/>
        <v/>
      </c>
      <c r="CC64" s="74" t="str">
        <f t="shared" si="32"/>
        <v/>
      </c>
      <c r="CD64" s="74" t="str">
        <f t="shared" si="32"/>
        <v/>
      </c>
      <c r="CE64" s="74" t="str">
        <f t="shared" si="32"/>
        <v/>
      </c>
      <c r="CF64" s="74" t="str">
        <f t="shared" si="32"/>
        <v/>
      </c>
      <c r="CG64" s="74" t="str">
        <f t="shared" si="32"/>
        <v/>
      </c>
      <c r="CH64" s="74" t="str">
        <f t="shared" si="32"/>
        <v/>
      </c>
    </row>
    <row r="65" spans="1:86" s="74" customFormat="1" ht="22.5">
      <c r="A65" s="180">
        <f t="shared" si="8"/>
        <v>47</v>
      </c>
      <c r="B65" s="321"/>
      <c r="C65" s="321"/>
      <c r="D65" s="104"/>
      <c r="E65" s="105" t="str">
        <f>IFERROR(VLOOKUP(D65,REFERENCES!$C$2:$D$60,2,0),"Do not write in this cell !")</f>
        <v>Do not write in this cell !</v>
      </c>
      <c r="F65" s="294"/>
      <c r="G65" s="296"/>
      <c r="H65" s="294"/>
      <c r="I65" s="295"/>
      <c r="J65" s="296"/>
      <c r="K65" s="153"/>
      <c r="L65" s="294"/>
      <c r="M65" s="295"/>
      <c r="N65" s="295"/>
      <c r="O65" s="296"/>
      <c r="P65" s="300"/>
      <c r="Q65" s="301"/>
      <c r="R65" s="302"/>
      <c r="S65" s="303"/>
      <c r="T65" s="304"/>
      <c r="U65" s="247"/>
      <c r="V65" s="247"/>
      <c r="W65" s="247" t="str">
        <f t="shared" si="13"/>
        <v/>
      </c>
      <c r="X65" s="106" t="str">
        <f>IF(U65="","Do not write in this cell !",VLOOKUP(W65,Liste!$A$18:$B$42,2,FALSE))</f>
        <v>Do not write in this cell !</v>
      </c>
      <c r="Y65" s="250"/>
      <c r="Z65" s="247"/>
      <c r="AA65" s="247"/>
      <c r="AB65" s="247" t="str">
        <f t="shared" si="14"/>
        <v/>
      </c>
      <c r="AC65" s="106" t="str">
        <f>IF(Z65="","Do not write in this cell !",VLOOKUP(AB65,Liste!$A$18:$B$42,2,FALSE))</f>
        <v>Do not write in this cell !</v>
      </c>
      <c r="AD65" s="255"/>
      <c r="AE65" s="255"/>
      <c r="AG65" s="82"/>
      <c r="AH65" s="74" t="str">
        <f t="shared" si="29"/>
        <v/>
      </c>
      <c r="AI65" s="74" t="str">
        <f t="shared" si="29"/>
        <v/>
      </c>
      <c r="AJ65" s="74" t="str">
        <f t="shared" si="29"/>
        <v/>
      </c>
      <c r="AK65" s="74" t="str">
        <f t="shared" si="29"/>
        <v/>
      </c>
      <c r="AL65" s="74" t="str">
        <f t="shared" si="29"/>
        <v/>
      </c>
      <c r="AM65" s="74" t="str">
        <f t="shared" si="29"/>
        <v/>
      </c>
      <c r="AN65" s="74" t="str">
        <f t="shared" si="29"/>
        <v/>
      </c>
      <c r="AO65" s="74" t="str">
        <f t="shared" si="29"/>
        <v/>
      </c>
      <c r="AP65" s="74" t="str">
        <f t="shared" si="29"/>
        <v/>
      </c>
      <c r="AQ65" s="74" t="str">
        <f t="shared" si="29"/>
        <v/>
      </c>
      <c r="AR65" s="74" t="str">
        <f t="shared" si="30"/>
        <v/>
      </c>
      <c r="AS65" s="74" t="str">
        <f t="shared" si="30"/>
        <v/>
      </c>
      <c r="AT65" s="74" t="str">
        <f t="shared" si="30"/>
        <v/>
      </c>
      <c r="AU65" s="74" t="str">
        <f t="shared" si="30"/>
        <v/>
      </c>
      <c r="AV65" s="74" t="str">
        <f t="shared" si="30"/>
        <v/>
      </c>
      <c r="AW65" s="74" t="str">
        <f t="shared" si="30"/>
        <v/>
      </c>
      <c r="AX65" s="74" t="str">
        <f t="shared" si="30"/>
        <v/>
      </c>
      <c r="AY65" s="74" t="str">
        <f t="shared" si="30"/>
        <v/>
      </c>
      <c r="AZ65" s="74" t="str">
        <f t="shared" si="30"/>
        <v/>
      </c>
      <c r="BA65" s="74" t="str">
        <f t="shared" si="30"/>
        <v/>
      </c>
      <c r="BB65" s="74" t="str">
        <f t="shared" si="30"/>
        <v/>
      </c>
      <c r="BC65" s="74" t="str">
        <f t="shared" si="30"/>
        <v/>
      </c>
      <c r="BD65" s="74" t="str">
        <f t="shared" si="30"/>
        <v/>
      </c>
      <c r="BE65" s="74" t="str">
        <f t="shared" si="30"/>
        <v/>
      </c>
      <c r="BF65" s="74" t="str">
        <f t="shared" si="30"/>
        <v/>
      </c>
      <c r="BJ65" s="74" t="str">
        <f t="shared" si="31"/>
        <v/>
      </c>
      <c r="BK65" s="74" t="str">
        <f t="shared" si="31"/>
        <v/>
      </c>
      <c r="BL65" s="74" t="str">
        <f t="shared" si="31"/>
        <v/>
      </c>
      <c r="BM65" s="74" t="str">
        <f t="shared" si="31"/>
        <v/>
      </c>
      <c r="BN65" s="74" t="str">
        <f t="shared" si="31"/>
        <v/>
      </c>
      <c r="BO65" s="74" t="str">
        <f t="shared" si="31"/>
        <v/>
      </c>
      <c r="BP65" s="74" t="str">
        <f t="shared" si="31"/>
        <v/>
      </c>
      <c r="BQ65" s="74" t="str">
        <f t="shared" si="31"/>
        <v/>
      </c>
      <c r="BR65" s="74" t="str">
        <f t="shared" si="31"/>
        <v/>
      </c>
      <c r="BS65" s="74" t="str">
        <f t="shared" si="31"/>
        <v/>
      </c>
      <c r="BT65" s="74" t="str">
        <f t="shared" si="32"/>
        <v/>
      </c>
      <c r="BU65" s="74" t="str">
        <f t="shared" si="32"/>
        <v/>
      </c>
      <c r="BV65" s="74" t="str">
        <f t="shared" si="32"/>
        <v/>
      </c>
      <c r="BW65" s="74" t="str">
        <f t="shared" si="32"/>
        <v/>
      </c>
      <c r="BX65" s="74" t="str">
        <f t="shared" si="32"/>
        <v/>
      </c>
      <c r="BY65" s="74" t="str">
        <f t="shared" si="32"/>
        <v/>
      </c>
      <c r="BZ65" s="74" t="str">
        <f t="shared" si="32"/>
        <v/>
      </c>
      <c r="CA65" s="74" t="str">
        <f t="shared" si="32"/>
        <v/>
      </c>
      <c r="CB65" s="74" t="str">
        <f t="shared" si="32"/>
        <v/>
      </c>
      <c r="CC65" s="74" t="str">
        <f t="shared" si="32"/>
        <v/>
      </c>
      <c r="CD65" s="74" t="str">
        <f t="shared" si="32"/>
        <v/>
      </c>
      <c r="CE65" s="74" t="str">
        <f t="shared" si="32"/>
        <v/>
      </c>
      <c r="CF65" s="74" t="str">
        <f t="shared" si="32"/>
        <v/>
      </c>
      <c r="CG65" s="74" t="str">
        <f t="shared" si="32"/>
        <v/>
      </c>
      <c r="CH65" s="74" t="str">
        <f t="shared" si="32"/>
        <v/>
      </c>
    </row>
    <row r="66" spans="1:86" s="74" customFormat="1" ht="22.5">
      <c r="A66" s="180">
        <f t="shared" si="8"/>
        <v>48</v>
      </c>
      <c r="B66" s="321"/>
      <c r="C66" s="321"/>
      <c r="D66" s="104"/>
      <c r="E66" s="105" t="str">
        <f>IFERROR(VLOOKUP(D66,REFERENCES!$C$2:$D$60,2,0),"Do not write in this cell !")</f>
        <v>Do not write in this cell !</v>
      </c>
      <c r="F66" s="294"/>
      <c r="G66" s="296"/>
      <c r="H66" s="294"/>
      <c r="I66" s="295"/>
      <c r="J66" s="296"/>
      <c r="K66" s="153"/>
      <c r="L66" s="294"/>
      <c r="M66" s="295"/>
      <c r="N66" s="295"/>
      <c r="O66" s="296"/>
      <c r="P66" s="300"/>
      <c r="Q66" s="301"/>
      <c r="R66" s="302"/>
      <c r="S66" s="303"/>
      <c r="T66" s="304"/>
      <c r="U66" s="247"/>
      <c r="V66" s="247"/>
      <c r="W66" s="247" t="str">
        <f t="shared" si="13"/>
        <v/>
      </c>
      <c r="X66" s="106" t="str">
        <f>IF(U66="","Do not write in this cell !",VLOOKUP(W66,Liste!$A$18:$B$42,2,FALSE))</f>
        <v>Do not write in this cell !</v>
      </c>
      <c r="Y66" s="250"/>
      <c r="Z66" s="247"/>
      <c r="AA66" s="247"/>
      <c r="AB66" s="247" t="str">
        <f t="shared" si="14"/>
        <v/>
      </c>
      <c r="AC66" s="106" t="str">
        <f>IF(Z66="","Do not write in this cell !",VLOOKUP(AB66,Liste!$A$18:$B$42,2,FALSE))</f>
        <v>Do not write in this cell !</v>
      </c>
      <c r="AD66" s="255"/>
      <c r="AE66" s="255"/>
      <c r="AG66" s="82"/>
      <c r="AH66" s="74" t="str">
        <f t="shared" si="29"/>
        <v/>
      </c>
      <c r="AI66" s="74" t="str">
        <f t="shared" si="29"/>
        <v/>
      </c>
      <c r="AJ66" s="74" t="str">
        <f t="shared" si="29"/>
        <v/>
      </c>
      <c r="AK66" s="74" t="str">
        <f t="shared" si="29"/>
        <v/>
      </c>
      <c r="AL66" s="74" t="str">
        <f t="shared" si="29"/>
        <v/>
      </c>
      <c r="AM66" s="74" t="str">
        <f t="shared" si="29"/>
        <v/>
      </c>
      <c r="AN66" s="74" t="str">
        <f t="shared" si="29"/>
        <v/>
      </c>
      <c r="AO66" s="74" t="str">
        <f t="shared" si="29"/>
        <v/>
      </c>
      <c r="AP66" s="74" t="str">
        <f t="shared" si="29"/>
        <v/>
      </c>
      <c r="AQ66" s="74" t="str">
        <f t="shared" si="29"/>
        <v/>
      </c>
      <c r="AR66" s="74" t="str">
        <f t="shared" si="30"/>
        <v/>
      </c>
      <c r="AS66" s="74" t="str">
        <f t="shared" si="30"/>
        <v/>
      </c>
      <c r="AT66" s="74" t="str">
        <f t="shared" si="30"/>
        <v/>
      </c>
      <c r="AU66" s="74" t="str">
        <f t="shared" si="30"/>
        <v/>
      </c>
      <c r="AV66" s="74" t="str">
        <f t="shared" si="30"/>
        <v/>
      </c>
      <c r="AW66" s="74" t="str">
        <f t="shared" si="30"/>
        <v/>
      </c>
      <c r="AX66" s="74" t="str">
        <f t="shared" si="30"/>
        <v/>
      </c>
      <c r="AY66" s="74" t="str">
        <f t="shared" si="30"/>
        <v/>
      </c>
      <c r="AZ66" s="74" t="str">
        <f t="shared" si="30"/>
        <v/>
      </c>
      <c r="BA66" s="74" t="str">
        <f t="shared" si="30"/>
        <v/>
      </c>
      <c r="BB66" s="74" t="str">
        <f t="shared" si="30"/>
        <v/>
      </c>
      <c r="BC66" s="74" t="str">
        <f t="shared" si="30"/>
        <v/>
      </c>
      <c r="BD66" s="74" t="str">
        <f t="shared" si="30"/>
        <v/>
      </c>
      <c r="BE66" s="74" t="str">
        <f t="shared" si="30"/>
        <v/>
      </c>
      <c r="BF66" s="74" t="str">
        <f t="shared" si="30"/>
        <v/>
      </c>
      <c r="BJ66" s="74" t="str">
        <f t="shared" si="31"/>
        <v/>
      </c>
      <c r="BK66" s="74" t="str">
        <f t="shared" si="31"/>
        <v/>
      </c>
      <c r="BL66" s="74" t="str">
        <f t="shared" si="31"/>
        <v/>
      </c>
      <c r="BM66" s="74" t="str">
        <f t="shared" si="31"/>
        <v/>
      </c>
      <c r="BN66" s="74" t="str">
        <f t="shared" si="31"/>
        <v/>
      </c>
      <c r="BO66" s="74" t="str">
        <f t="shared" si="31"/>
        <v/>
      </c>
      <c r="BP66" s="74" t="str">
        <f t="shared" si="31"/>
        <v/>
      </c>
      <c r="BQ66" s="74" t="str">
        <f t="shared" si="31"/>
        <v/>
      </c>
      <c r="BR66" s="74" t="str">
        <f t="shared" si="31"/>
        <v/>
      </c>
      <c r="BS66" s="74" t="str">
        <f t="shared" si="31"/>
        <v/>
      </c>
      <c r="BT66" s="74" t="str">
        <f t="shared" si="32"/>
        <v/>
      </c>
      <c r="BU66" s="74" t="str">
        <f t="shared" si="32"/>
        <v/>
      </c>
      <c r="BV66" s="74" t="str">
        <f t="shared" si="32"/>
        <v/>
      </c>
      <c r="BW66" s="74" t="str">
        <f t="shared" si="32"/>
        <v/>
      </c>
      <c r="BX66" s="74" t="str">
        <f t="shared" si="32"/>
        <v/>
      </c>
      <c r="BY66" s="74" t="str">
        <f t="shared" si="32"/>
        <v/>
      </c>
      <c r="BZ66" s="74" t="str">
        <f t="shared" si="32"/>
        <v/>
      </c>
      <c r="CA66" s="74" t="str">
        <f t="shared" si="32"/>
        <v/>
      </c>
      <c r="CB66" s="74" t="str">
        <f t="shared" si="32"/>
        <v/>
      </c>
      <c r="CC66" s="74" t="str">
        <f t="shared" si="32"/>
        <v/>
      </c>
      <c r="CD66" s="74" t="str">
        <f t="shared" si="32"/>
        <v/>
      </c>
      <c r="CE66" s="74" t="str">
        <f t="shared" si="32"/>
        <v/>
      </c>
      <c r="CF66" s="74" t="str">
        <f t="shared" si="32"/>
        <v/>
      </c>
      <c r="CG66" s="74" t="str">
        <f t="shared" si="32"/>
        <v/>
      </c>
      <c r="CH66" s="74" t="str">
        <f t="shared" si="32"/>
        <v/>
      </c>
    </row>
    <row r="67" spans="1:86" s="74" customFormat="1" ht="22.5">
      <c r="A67" s="180">
        <f t="shared" si="8"/>
        <v>49</v>
      </c>
      <c r="B67" s="321"/>
      <c r="C67" s="321"/>
      <c r="D67" s="104"/>
      <c r="E67" s="105" t="str">
        <f>IFERROR(VLOOKUP(D67,REFERENCES!$C$2:$D$60,2,0),"Do not write in this cell !")</f>
        <v>Do not write in this cell !</v>
      </c>
      <c r="F67" s="294"/>
      <c r="G67" s="296"/>
      <c r="H67" s="294"/>
      <c r="I67" s="295"/>
      <c r="J67" s="296"/>
      <c r="K67" s="153"/>
      <c r="L67" s="294"/>
      <c r="M67" s="295"/>
      <c r="N67" s="295"/>
      <c r="O67" s="296"/>
      <c r="P67" s="300"/>
      <c r="Q67" s="301"/>
      <c r="R67" s="302"/>
      <c r="S67" s="303"/>
      <c r="T67" s="304"/>
      <c r="U67" s="247"/>
      <c r="V67" s="247"/>
      <c r="W67" s="247" t="str">
        <f t="shared" si="13"/>
        <v/>
      </c>
      <c r="X67" s="106" t="str">
        <f>IF(U67="","Do not write in this cell !",VLOOKUP(W67,Liste!$A$18:$B$42,2,FALSE))</f>
        <v>Do not write in this cell !</v>
      </c>
      <c r="Y67" s="250"/>
      <c r="Z67" s="247"/>
      <c r="AA67" s="247"/>
      <c r="AB67" s="247" t="str">
        <f t="shared" si="14"/>
        <v/>
      </c>
      <c r="AC67" s="106" t="str">
        <f>IF(Z67="","Do not write in this cell !",VLOOKUP(AB67,Liste!$A$18:$B$42,2,FALSE))</f>
        <v>Do not write in this cell !</v>
      </c>
      <c r="AD67" s="255"/>
      <c r="AE67" s="255"/>
      <c r="AG67" s="82"/>
      <c r="AH67" s="74" t="str">
        <f t="shared" si="29"/>
        <v/>
      </c>
      <c r="AI67" s="74" t="str">
        <f t="shared" si="29"/>
        <v/>
      </c>
      <c r="AJ67" s="74" t="str">
        <f t="shared" si="29"/>
        <v/>
      </c>
      <c r="AK67" s="74" t="str">
        <f t="shared" si="29"/>
        <v/>
      </c>
      <c r="AL67" s="74" t="str">
        <f t="shared" si="29"/>
        <v/>
      </c>
      <c r="AM67" s="74" t="str">
        <f t="shared" si="29"/>
        <v/>
      </c>
      <c r="AN67" s="74" t="str">
        <f t="shared" si="29"/>
        <v/>
      </c>
      <c r="AO67" s="74" t="str">
        <f t="shared" si="29"/>
        <v/>
      </c>
      <c r="AP67" s="74" t="str">
        <f t="shared" si="29"/>
        <v/>
      </c>
      <c r="AQ67" s="74" t="str">
        <f t="shared" si="29"/>
        <v/>
      </c>
      <c r="AR67" s="74" t="str">
        <f t="shared" si="30"/>
        <v/>
      </c>
      <c r="AS67" s="74" t="str">
        <f t="shared" si="30"/>
        <v/>
      </c>
      <c r="AT67" s="74" t="str">
        <f t="shared" si="30"/>
        <v/>
      </c>
      <c r="AU67" s="74" t="str">
        <f t="shared" si="30"/>
        <v/>
      </c>
      <c r="AV67" s="74" t="str">
        <f t="shared" si="30"/>
        <v/>
      </c>
      <c r="AW67" s="74" t="str">
        <f t="shared" si="30"/>
        <v/>
      </c>
      <c r="AX67" s="74" t="str">
        <f t="shared" si="30"/>
        <v/>
      </c>
      <c r="AY67" s="74" t="str">
        <f t="shared" si="30"/>
        <v/>
      </c>
      <c r="AZ67" s="74" t="str">
        <f t="shared" si="30"/>
        <v/>
      </c>
      <c r="BA67" s="74" t="str">
        <f t="shared" si="30"/>
        <v/>
      </c>
      <c r="BB67" s="74" t="str">
        <f t="shared" si="30"/>
        <v/>
      </c>
      <c r="BC67" s="74" t="str">
        <f t="shared" si="30"/>
        <v/>
      </c>
      <c r="BD67" s="74" t="str">
        <f t="shared" si="30"/>
        <v/>
      </c>
      <c r="BE67" s="74" t="str">
        <f t="shared" si="30"/>
        <v/>
      </c>
      <c r="BF67" s="74" t="str">
        <f t="shared" si="30"/>
        <v/>
      </c>
      <c r="BJ67" s="74" t="str">
        <f t="shared" si="31"/>
        <v/>
      </c>
      <c r="BK67" s="74" t="str">
        <f t="shared" si="31"/>
        <v/>
      </c>
      <c r="BL67" s="74" t="str">
        <f t="shared" si="31"/>
        <v/>
      </c>
      <c r="BM67" s="74" t="str">
        <f t="shared" si="31"/>
        <v/>
      </c>
      <c r="BN67" s="74" t="str">
        <f t="shared" si="31"/>
        <v/>
      </c>
      <c r="BO67" s="74" t="str">
        <f t="shared" si="31"/>
        <v/>
      </c>
      <c r="BP67" s="74" t="str">
        <f t="shared" si="31"/>
        <v/>
      </c>
      <c r="BQ67" s="74" t="str">
        <f t="shared" si="31"/>
        <v/>
      </c>
      <c r="BR67" s="74" t="str">
        <f t="shared" si="31"/>
        <v/>
      </c>
      <c r="BS67" s="74" t="str">
        <f t="shared" si="31"/>
        <v/>
      </c>
      <c r="BT67" s="74" t="str">
        <f t="shared" si="32"/>
        <v/>
      </c>
      <c r="BU67" s="74" t="str">
        <f t="shared" si="32"/>
        <v/>
      </c>
      <c r="BV67" s="74" t="str">
        <f t="shared" si="32"/>
        <v/>
      </c>
      <c r="BW67" s="74" t="str">
        <f t="shared" si="32"/>
        <v/>
      </c>
      <c r="BX67" s="74" t="str">
        <f t="shared" si="32"/>
        <v/>
      </c>
      <c r="BY67" s="74" t="str">
        <f t="shared" si="32"/>
        <v/>
      </c>
      <c r="BZ67" s="74" t="str">
        <f t="shared" si="32"/>
        <v/>
      </c>
      <c r="CA67" s="74" t="str">
        <f t="shared" si="32"/>
        <v/>
      </c>
      <c r="CB67" s="74" t="str">
        <f t="shared" si="32"/>
        <v/>
      </c>
      <c r="CC67" s="74" t="str">
        <f t="shared" si="32"/>
        <v/>
      </c>
      <c r="CD67" s="74" t="str">
        <f t="shared" si="32"/>
        <v/>
      </c>
      <c r="CE67" s="74" t="str">
        <f t="shared" si="32"/>
        <v/>
      </c>
      <c r="CF67" s="74" t="str">
        <f t="shared" si="32"/>
        <v/>
      </c>
      <c r="CG67" s="74" t="str">
        <f t="shared" si="32"/>
        <v/>
      </c>
      <c r="CH67" s="74" t="str">
        <f t="shared" si="32"/>
        <v/>
      </c>
    </row>
    <row r="68" spans="1:86" s="74" customFormat="1" ht="22.5">
      <c r="A68" s="180">
        <f t="shared" si="8"/>
        <v>50</v>
      </c>
      <c r="B68" s="321"/>
      <c r="C68" s="321"/>
      <c r="D68" s="104"/>
      <c r="E68" s="105" t="str">
        <f>IFERROR(VLOOKUP(D68,REFERENCES!$C$2:$D$60,2,0),"Do not write in this cell !")</f>
        <v>Do not write in this cell !</v>
      </c>
      <c r="F68" s="294"/>
      <c r="G68" s="296"/>
      <c r="H68" s="294"/>
      <c r="I68" s="295"/>
      <c r="J68" s="296"/>
      <c r="K68" s="153"/>
      <c r="L68" s="294"/>
      <c r="M68" s="295"/>
      <c r="N68" s="295"/>
      <c r="O68" s="296"/>
      <c r="P68" s="300"/>
      <c r="Q68" s="301"/>
      <c r="R68" s="302"/>
      <c r="S68" s="303"/>
      <c r="T68" s="304"/>
      <c r="U68" s="247"/>
      <c r="V68" s="247"/>
      <c r="W68" s="247" t="str">
        <f t="shared" si="13"/>
        <v/>
      </c>
      <c r="X68" s="106" t="str">
        <f>IF(U68="","Do not write in this cell !",VLOOKUP(W68,Liste!$A$18:$B$42,2,FALSE))</f>
        <v>Do not write in this cell !</v>
      </c>
      <c r="Y68" s="250"/>
      <c r="Z68" s="247"/>
      <c r="AA68" s="247"/>
      <c r="AB68" s="247" t="str">
        <f t="shared" si="14"/>
        <v/>
      </c>
      <c r="AC68" s="106" t="str">
        <f>IF(Z68="","Do not write in this cell !",VLOOKUP(AB68,Liste!$A$18:$B$42,2,FALSE))</f>
        <v>Do not write in this cell !</v>
      </c>
      <c r="AD68" s="255"/>
      <c r="AE68" s="255"/>
      <c r="AG68" s="82"/>
      <c r="AH68" s="74" t="str">
        <f t="shared" si="29"/>
        <v/>
      </c>
      <c r="AI68" s="74" t="str">
        <f t="shared" si="29"/>
        <v/>
      </c>
      <c r="AJ68" s="74" t="str">
        <f t="shared" si="29"/>
        <v/>
      </c>
      <c r="AK68" s="74" t="str">
        <f t="shared" si="29"/>
        <v/>
      </c>
      <c r="AL68" s="74" t="str">
        <f t="shared" si="29"/>
        <v/>
      </c>
      <c r="AM68" s="74" t="str">
        <f t="shared" si="29"/>
        <v/>
      </c>
      <c r="AN68" s="74" t="str">
        <f t="shared" si="29"/>
        <v/>
      </c>
      <c r="AO68" s="74" t="str">
        <f t="shared" si="29"/>
        <v/>
      </c>
      <c r="AP68" s="74" t="str">
        <f t="shared" si="29"/>
        <v/>
      </c>
      <c r="AQ68" s="74" t="str">
        <f t="shared" si="29"/>
        <v/>
      </c>
      <c r="AR68" s="74" t="str">
        <f t="shared" si="30"/>
        <v/>
      </c>
      <c r="AS68" s="74" t="str">
        <f t="shared" si="30"/>
        <v/>
      </c>
      <c r="AT68" s="74" t="str">
        <f t="shared" si="30"/>
        <v/>
      </c>
      <c r="AU68" s="74" t="str">
        <f t="shared" si="30"/>
        <v/>
      </c>
      <c r="AV68" s="74" t="str">
        <f t="shared" si="30"/>
        <v/>
      </c>
      <c r="AW68" s="74" t="str">
        <f t="shared" si="30"/>
        <v/>
      </c>
      <c r="AX68" s="74" t="str">
        <f t="shared" si="30"/>
        <v/>
      </c>
      <c r="AY68" s="74" t="str">
        <f t="shared" si="30"/>
        <v/>
      </c>
      <c r="AZ68" s="74" t="str">
        <f t="shared" si="30"/>
        <v/>
      </c>
      <c r="BA68" s="74" t="str">
        <f t="shared" si="30"/>
        <v/>
      </c>
      <c r="BB68" s="74" t="str">
        <f t="shared" si="30"/>
        <v/>
      </c>
      <c r="BC68" s="74" t="str">
        <f t="shared" si="30"/>
        <v/>
      </c>
      <c r="BD68" s="74" t="str">
        <f t="shared" si="30"/>
        <v/>
      </c>
      <c r="BE68" s="74" t="str">
        <f t="shared" si="30"/>
        <v/>
      </c>
      <c r="BF68" s="74" t="str">
        <f t="shared" si="30"/>
        <v/>
      </c>
      <c r="BJ68" s="74" t="str">
        <f t="shared" si="31"/>
        <v/>
      </c>
      <c r="BK68" s="74" t="str">
        <f t="shared" si="31"/>
        <v/>
      </c>
      <c r="BL68" s="74" t="str">
        <f t="shared" si="31"/>
        <v/>
      </c>
      <c r="BM68" s="74" t="str">
        <f t="shared" si="31"/>
        <v/>
      </c>
      <c r="BN68" s="74" t="str">
        <f t="shared" si="31"/>
        <v/>
      </c>
      <c r="BO68" s="74" t="str">
        <f t="shared" si="31"/>
        <v/>
      </c>
      <c r="BP68" s="74" t="str">
        <f t="shared" si="31"/>
        <v/>
      </c>
      <c r="BQ68" s="74" t="str">
        <f t="shared" si="31"/>
        <v/>
      </c>
      <c r="BR68" s="74" t="str">
        <f t="shared" si="31"/>
        <v/>
      </c>
      <c r="BS68" s="74" t="str">
        <f t="shared" si="31"/>
        <v/>
      </c>
      <c r="BT68" s="74" t="str">
        <f t="shared" si="32"/>
        <v/>
      </c>
      <c r="BU68" s="74" t="str">
        <f t="shared" si="32"/>
        <v/>
      </c>
      <c r="BV68" s="74" t="str">
        <f t="shared" si="32"/>
        <v/>
      </c>
      <c r="BW68" s="74" t="str">
        <f t="shared" si="32"/>
        <v/>
      </c>
      <c r="BX68" s="74" t="str">
        <f t="shared" si="32"/>
        <v/>
      </c>
      <c r="BY68" s="74" t="str">
        <f t="shared" si="32"/>
        <v/>
      </c>
      <c r="BZ68" s="74" t="str">
        <f t="shared" si="32"/>
        <v/>
      </c>
      <c r="CA68" s="74" t="str">
        <f t="shared" si="32"/>
        <v/>
      </c>
      <c r="CB68" s="74" t="str">
        <f t="shared" si="32"/>
        <v/>
      </c>
      <c r="CC68" s="74" t="str">
        <f t="shared" si="32"/>
        <v/>
      </c>
      <c r="CD68" s="74" t="str">
        <f t="shared" si="32"/>
        <v/>
      </c>
      <c r="CE68" s="74" t="str">
        <f t="shared" si="32"/>
        <v/>
      </c>
      <c r="CF68" s="74" t="str">
        <f t="shared" si="32"/>
        <v/>
      </c>
      <c r="CG68" s="74" t="str">
        <f t="shared" si="32"/>
        <v/>
      </c>
      <c r="CH68" s="74" t="str">
        <f t="shared" si="32"/>
        <v/>
      </c>
    </row>
    <row r="69" spans="1:86" s="74" customFormat="1" ht="18">
      <c r="A69" s="137"/>
      <c r="B69" s="138"/>
      <c r="C69" s="138"/>
      <c r="D69" s="139"/>
      <c r="E69" s="140"/>
      <c r="F69" s="138"/>
      <c r="G69" s="138"/>
      <c r="H69" s="138"/>
      <c r="I69" s="138"/>
      <c r="J69" s="138"/>
      <c r="K69" s="138"/>
      <c r="L69" s="138"/>
      <c r="M69" s="138"/>
      <c r="N69" s="138"/>
      <c r="O69" s="138"/>
      <c r="P69" s="141"/>
      <c r="Q69" s="141"/>
      <c r="R69" s="141"/>
      <c r="S69" s="141"/>
      <c r="T69" s="141"/>
      <c r="U69" s="142"/>
      <c r="V69" s="142"/>
      <c r="W69" s="142"/>
      <c r="X69" s="143"/>
      <c r="Y69" s="138"/>
      <c r="Z69" s="142"/>
      <c r="AA69" s="142"/>
      <c r="AB69" s="142"/>
      <c r="AC69" s="143"/>
      <c r="AD69" s="143"/>
      <c r="AE69" s="143"/>
      <c r="AG69" s="82"/>
    </row>
    <row r="70" spans="1:86">
      <c r="AH70" s="75" t="str">
        <f t="shared" ref="AH70:BF70" si="33">_xlfn.TEXTJOIN("; ",TRUE,AH19:AH68)</f>
        <v/>
      </c>
      <c r="AI70" s="75" t="str">
        <f t="shared" si="33"/>
        <v/>
      </c>
      <c r="AJ70" s="75" t="str">
        <f t="shared" si="33"/>
        <v/>
      </c>
      <c r="AK70" s="75" t="str">
        <f t="shared" si="33"/>
        <v/>
      </c>
      <c r="AL70" s="75" t="str">
        <f t="shared" si="33"/>
        <v/>
      </c>
      <c r="AM70" s="75" t="str">
        <f t="shared" si="33"/>
        <v/>
      </c>
      <c r="AN70" s="75" t="str">
        <f t="shared" si="33"/>
        <v/>
      </c>
      <c r="AO70" s="75" t="str">
        <f t="shared" si="33"/>
        <v/>
      </c>
      <c r="AP70" s="75" t="str">
        <f t="shared" si="33"/>
        <v/>
      </c>
      <c r="AQ70" s="75" t="str">
        <f t="shared" si="33"/>
        <v/>
      </c>
      <c r="AR70" s="75" t="str">
        <f t="shared" si="33"/>
        <v/>
      </c>
      <c r="AS70" s="75" t="str">
        <f t="shared" si="33"/>
        <v/>
      </c>
      <c r="AT70" s="75" t="str">
        <f t="shared" si="33"/>
        <v/>
      </c>
      <c r="AU70" s="75" t="str">
        <f t="shared" si="33"/>
        <v/>
      </c>
      <c r="AV70" s="75" t="str">
        <f t="shared" si="33"/>
        <v/>
      </c>
      <c r="AW70" s="75" t="str">
        <f t="shared" si="33"/>
        <v/>
      </c>
      <c r="AX70" s="75" t="str">
        <f t="shared" si="33"/>
        <v/>
      </c>
      <c r="AY70" s="75" t="str">
        <f t="shared" si="33"/>
        <v/>
      </c>
      <c r="AZ70" s="75" t="str">
        <f t="shared" si="33"/>
        <v/>
      </c>
      <c r="BA70" s="75" t="str">
        <f t="shared" si="33"/>
        <v/>
      </c>
      <c r="BB70" s="75" t="str">
        <f t="shared" si="33"/>
        <v/>
      </c>
      <c r="BC70" s="75" t="str">
        <f t="shared" si="33"/>
        <v/>
      </c>
      <c r="BD70" s="75" t="str">
        <f t="shared" si="33"/>
        <v/>
      </c>
      <c r="BE70" s="75" t="str">
        <f t="shared" si="33"/>
        <v/>
      </c>
      <c r="BF70" s="75" t="str">
        <f t="shared" si="33"/>
        <v/>
      </c>
      <c r="BG70" s="31"/>
      <c r="BH70" s="31"/>
      <c r="BI70" s="31"/>
      <c r="BJ70" s="75" t="str">
        <f t="shared" ref="BJ70:CH70" si="34">_xlfn.TEXTJOIN("; ",TRUE,BJ19:BJ68)</f>
        <v/>
      </c>
      <c r="BK70" s="75" t="str">
        <f t="shared" si="34"/>
        <v/>
      </c>
      <c r="BL70" s="75" t="str">
        <f t="shared" si="34"/>
        <v/>
      </c>
      <c r="BM70" s="75" t="str">
        <f t="shared" si="34"/>
        <v/>
      </c>
      <c r="BN70" s="75" t="str">
        <f t="shared" si="34"/>
        <v/>
      </c>
      <c r="BO70" s="75" t="str">
        <f t="shared" si="34"/>
        <v/>
      </c>
      <c r="BP70" s="75" t="str">
        <f t="shared" si="34"/>
        <v/>
      </c>
      <c r="BQ70" s="75" t="str">
        <f t="shared" si="34"/>
        <v/>
      </c>
      <c r="BR70" s="75" t="str">
        <f t="shared" si="34"/>
        <v/>
      </c>
      <c r="BS70" s="75" t="str">
        <f t="shared" si="34"/>
        <v/>
      </c>
      <c r="BT70" s="75" t="str">
        <f t="shared" si="34"/>
        <v/>
      </c>
      <c r="BU70" s="75" t="str">
        <f t="shared" si="34"/>
        <v/>
      </c>
      <c r="BV70" s="75" t="str">
        <f t="shared" si="34"/>
        <v/>
      </c>
      <c r="BW70" s="75" t="str">
        <f t="shared" si="34"/>
        <v/>
      </c>
      <c r="BX70" s="75" t="str">
        <f t="shared" si="34"/>
        <v/>
      </c>
      <c r="BY70" s="75" t="str">
        <f t="shared" si="34"/>
        <v/>
      </c>
      <c r="BZ70" s="75" t="str">
        <f t="shared" si="34"/>
        <v/>
      </c>
      <c r="CA70" s="75" t="str">
        <f t="shared" si="34"/>
        <v/>
      </c>
      <c r="CB70" s="75" t="str">
        <f t="shared" si="34"/>
        <v/>
      </c>
      <c r="CC70" s="75" t="str">
        <f t="shared" si="34"/>
        <v/>
      </c>
      <c r="CD70" s="75" t="str">
        <f t="shared" si="34"/>
        <v/>
      </c>
      <c r="CE70" s="75" t="str">
        <f t="shared" si="34"/>
        <v/>
      </c>
      <c r="CF70" s="75" t="str">
        <f t="shared" si="34"/>
        <v/>
      </c>
      <c r="CG70" s="75" t="str">
        <f t="shared" si="34"/>
        <v/>
      </c>
      <c r="CH70" s="75" t="str">
        <f t="shared" si="34"/>
        <v/>
      </c>
    </row>
  </sheetData>
  <protectedRanges>
    <protectedRange sqref="E19:E69" name="Plage1"/>
  </protectedRanges>
  <dataConsolidate/>
  <mergeCells count="327">
    <mergeCell ref="Y15:AE15"/>
    <mergeCell ref="B68:C68"/>
    <mergeCell ref="B30:C30"/>
    <mergeCell ref="H23:J23"/>
    <mergeCell ref="H25:J25"/>
    <mergeCell ref="H26:J26"/>
    <mergeCell ref="F25:G25"/>
    <mergeCell ref="F26:G26"/>
    <mergeCell ref="H22:J22"/>
    <mergeCell ref="B22:C22"/>
    <mergeCell ref="B25:C25"/>
    <mergeCell ref="B26:C26"/>
    <mergeCell ref="B27:C27"/>
    <mergeCell ref="B28:C28"/>
    <mergeCell ref="F44:G44"/>
    <mergeCell ref="H31:J31"/>
    <mergeCell ref="H32:J32"/>
    <mergeCell ref="B67:C67"/>
    <mergeCell ref="B36:C36"/>
    <mergeCell ref="B54:C54"/>
    <mergeCell ref="B65:C65"/>
    <mergeCell ref="B64:C64"/>
    <mergeCell ref="B58:C58"/>
    <mergeCell ref="B66:C66"/>
    <mergeCell ref="B63:C63"/>
    <mergeCell ref="B50:C50"/>
    <mergeCell ref="B62:C62"/>
    <mergeCell ref="B52:C52"/>
    <mergeCell ref="B53:C53"/>
    <mergeCell ref="B56:C56"/>
    <mergeCell ref="B51:C51"/>
    <mergeCell ref="B59:C59"/>
    <mergeCell ref="B60:C60"/>
    <mergeCell ref="B61:C61"/>
    <mergeCell ref="B55:C55"/>
    <mergeCell ref="B57:C57"/>
    <mergeCell ref="B32:C32"/>
    <mergeCell ref="B33:C33"/>
    <mergeCell ref="B38:C38"/>
    <mergeCell ref="B21:C21"/>
    <mergeCell ref="B24:C24"/>
    <mergeCell ref="B37:C37"/>
    <mergeCell ref="B43:C43"/>
    <mergeCell ref="B45:C45"/>
    <mergeCell ref="B49:C49"/>
    <mergeCell ref="B47:C47"/>
    <mergeCell ref="B46:C46"/>
    <mergeCell ref="B34:C34"/>
    <mergeCell ref="B35:C35"/>
    <mergeCell ref="B44:C44"/>
    <mergeCell ref="B39:C39"/>
    <mergeCell ref="B41:C41"/>
    <mergeCell ref="B42:C42"/>
    <mergeCell ref="B48:C48"/>
    <mergeCell ref="Z17:AC17"/>
    <mergeCell ref="A17:C17"/>
    <mergeCell ref="B19:C19"/>
    <mergeCell ref="F19:G19"/>
    <mergeCell ref="H19:J19"/>
    <mergeCell ref="L19:O19"/>
    <mergeCell ref="P19:R19"/>
    <mergeCell ref="S19:T19"/>
    <mergeCell ref="S18:T18"/>
    <mergeCell ref="S17:X17"/>
    <mergeCell ref="B18:C18"/>
    <mergeCell ref="L17:R17"/>
    <mergeCell ref="P18:R18"/>
    <mergeCell ref="L18:O18"/>
    <mergeCell ref="D17:K17"/>
    <mergeCell ref="S30:T30"/>
    <mergeCell ref="B31:C31"/>
    <mergeCell ref="H48:J48"/>
    <mergeCell ref="F40:G40"/>
    <mergeCell ref="F41:G41"/>
    <mergeCell ref="B40:C40"/>
    <mergeCell ref="F24:G24"/>
    <mergeCell ref="F31:G31"/>
    <mergeCell ref="F32:G32"/>
    <mergeCell ref="S41:T41"/>
    <mergeCell ref="S32:T32"/>
    <mergeCell ref="S42:T42"/>
    <mergeCell ref="S43:T43"/>
    <mergeCell ref="S44:T44"/>
    <mergeCell ref="S45:T45"/>
    <mergeCell ref="S46:T46"/>
    <mergeCell ref="L46:O46"/>
    <mergeCell ref="L47:O47"/>
    <mergeCell ref="P29:R29"/>
    <mergeCell ref="P30:R30"/>
    <mergeCell ref="P24:R24"/>
    <mergeCell ref="S24:T24"/>
    <mergeCell ref="P35:R35"/>
    <mergeCell ref="L36:O36"/>
    <mergeCell ref="S39:T39"/>
    <mergeCell ref="L44:O44"/>
    <mergeCell ref="L45:O45"/>
    <mergeCell ref="S22:T22"/>
    <mergeCell ref="S23:T23"/>
    <mergeCell ref="S25:T25"/>
    <mergeCell ref="S26:T26"/>
    <mergeCell ref="S27:T27"/>
    <mergeCell ref="S28:T28"/>
    <mergeCell ref="S29:T29"/>
    <mergeCell ref="S40:T40"/>
    <mergeCell ref="S31:T31"/>
    <mergeCell ref="P31:R31"/>
    <mergeCell ref="P32:R32"/>
    <mergeCell ref="S35:T35"/>
    <mergeCell ref="S36:T36"/>
    <mergeCell ref="S37:T37"/>
    <mergeCell ref="S38:T38"/>
    <mergeCell ref="P37:R37"/>
    <mergeCell ref="P38:R38"/>
    <mergeCell ref="P36:R36"/>
    <mergeCell ref="L24:O24"/>
    <mergeCell ref="P44:R44"/>
    <mergeCell ref="P45:R45"/>
    <mergeCell ref="O3:Q3"/>
    <mergeCell ref="L37:O37"/>
    <mergeCell ref="L38:O38"/>
    <mergeCell ref="L39:O39"/>
    <mergeCell ref="L40:O40"/>
    <mergeCell ref="L41:O41"/>
    <mergeCell ref="L43:O43"/>
    <mergeCell ref="P39:R39"/>
    <mergeCell ref="P40:R40"/>
    <mergeCell ref="P41:R41"/>
    <mergeCell ref="P42:R42"/>
    <mergeCell ref="P43:R43"/>
    <mergeCell ref="P26:R26"/>
    <mergeCell ref="P27:R27"/>
    <mergeCell ref="L21:O21"/>
    <mergeCell ref="L22:O22"/>
    <mergeCell ref="L42:O42"/>
    <mergeCell ref="L34:O34"/>
    <mergeCell ref="L35:O35"/>
    <mergeCell ref="F51:G51"/>
    <mergeCell ref="F52:G52"/>
    <mergeCell ref="F33:G33"/>
    <mergeCell ref="F34:G34"/>
    <mergeCell ref="F38:G38"/>
    <mergeCell ref="H33:J33"/>
    <mergeCell ref="H34:J34"/>
    <mergeCell ref="H35:J35"/>
    <mergeCell ref="H36:J36"/>
    <mergeCell ref="F42:G42"/>
    <mergeCell ref="F39:G39"/>
    <mergeCell ref="H49:J49"/>
    <mergeCell ref="H50:J50"/>
    <mergeCell ref="F35:G35"/>
    <mergeCell ref="F36:G36"/>
    <mergeCell ref="F37:G37"/>
    <mergeCell ref="F49:G49"/>
    <mergeCell ref="F50:G50"/>
    <mergeCell ref="F43:G43"/>
    <mergeCell ref="F45:G45"/>
    <mergeCell ref="F46:G46"/>
    <mergeCell ref="F47:G47"/>
    <mergeCell ref="F48:G48"/>
    <mergeCell ref="A3:C4"/>
    <mergeCell ref="A5:A9"/>
    <mergeCell ref="F18:G18"/>
    <mergeCell ref="H18:J18"/>
    <mergeCell ref="F22:G22"/>
    <mergeCell ref="F27:G27"/>
    <mergeCell ref="F28:G28"/>
    <mergeCell ref="F29:G29"/>
    <mergeCell ref="F30:G30"/>
    <mergeCell ref="D3:H3"/>
    <mergeCell ref="B23:C23"/>
    <mergeCell ref="B29:C29"/>
    <mergeCell ref="H24:J24"/>
    <mergeCell ref="F20:G20"/>
    <mergeCell ref="H20:J20"/>
    <mergeCell ref="B20:C20"/>
    <mergeCell ref="H27:J27"/>
    <mergeCell ref="H28:J28"/>
    <mergeCell ref="H29:J29"/>
    <mergeCell ref="H30:J30"/>
    <mergeCell ref="F21:G21"/>
    <mergeCell ref="H21:J21"/>
    <mergeCell ref="F23:G23"/>
    <mergeCell ref="T5:V5"/>
    <mergeCell ref="T6:V6"/>
    <mergeCell ref="T7:V7"/>
    <mergeCell ref="T8:V8"/>
    <mergeCell ref="T9:V9"/>
    <mergeCell ref="T10:V10"/>
    <mergeCell ref="T4:V4"/>
    <mergeCell ref="S34:T34"/>
    <mergeCell ref="L23:O23"/>
    <mergeCell ref="L25:O25"/>
    <mergeCell ref="L26:O26"/>
    <mergeCell ref="L27:O27"/>
    <mergeCell ref="J5:N7"/>
    <mergeCell ref="J4:N4"/>
    <mergeCell ref="P21:R21"/>
    <mergeCell ref="S21:T21"/>
    <mergeCell ref="L20:O20"/>
    <mergeCell ref="P20:R20"/>
    <mergeCell ref="S20:T20"/>
    <mergeCell ref="P33:R33"/>
    <mergeCell ref="P34:R34"/>
    <mergeCell ref="P22:R22"/>
    <mergeCell ref="P23:R23"/>
    <mergeCell ref="P25:R25"/>
    <mergeCell ref="S68:T68"/>
    <mergeCell ref="S51:T51"/>
    <mergeCell ref="S52:T52"/>
    <mergeCell ref="S53:T53"/>
    <mergeCell ref="S54:T54"/>
    <mergeCell ref="S55:T55"/>
    <mergeCell ref="S56:T56"/>
    <mergeCell ref="S57:T57"/>
    <mergeCell ref="S58:T58"/>
    <mergeCell ref="S59:T59"/>
    <mergeCell ref="S60:T60"/>
    <mergeCell ref="S61:T61"/>
    <mergeCell ref="S62:T62"/>
    <mergeCell ref="S63:T63"/>
    <mergeCell ref="S64:T64"/>
    <mergeCell ref="S65:T65"/>
    <mergeCell ref="S47:T47"/>
    <mergeCell ref="S48:T48"/>
    <mergeCell ref="S49:T49"/>
    <mergeCell ref="S50:T50"/>
    <mergeCell ref="P55:R55"/>
    <mergeCell ref="P56:R56"/>
    <mergeCell ref="P57:R57"/>
    <mergeCell ref="S66:T66"/>
    <mergeCell ref="S67:T67"/>
    <mergeCell ref="P59:R59"/>
    <mergeCell ref="P60:R60"/>
    <mergeCell ref="P61:R61"/>
    <mergeCell ref="P62:R62"/>
    <mergeCell ref="P63:R63"/>
    <mergeCell ref="P64:R64"/>
    <mergeCell ref="P65:R65"/>
    <mergeCell ref="P66:R66"/>
    <mergeCell ref="P46:R46"/>
    <mergeCell ref="P47:R47"/>
    <mergeCell ref="P68:R68"/>
    <mergeCell ref="F53:G53"/>
    <mergeCell ref="F54:G54"/>
    <mergeCell ref="F67:G67"/>
    <mergeCell ref="F68:G68"/>
    <mergeCell ref="P48:R48"/>
    <mergeCell ref="P49:R49"/>
    <mergeCell ref="P50:R50"/>
    <mergeCell ref="P51:R51"/>
    <mergeCell ref="P52:R52"/>
    <mergeCell ref="P53:R53"/>
    <mergeCell ref="P54:R54"/>
    <mergeCell ref="H53:J53"/>
    <mergeCell ref="H54:J54"/>
    <mergeCell ref="H55:J55"/>
    <mergeCell ref="H56:J56"/>
    <mergeCell ref="H57:J57"/>
    <mergeCell ref="H58:J58"/>
    <mergeCell ref="H59:J59"/>
    <mergeCell ref="L57:O57"/>
    <mergeCell ref="L58:O58"/>
    <mergeCell ref="L59:O59"/>
    <mergeCell ref="L56:O56"/>
    <mergeCell ref="P58:R58"/>
    <mergeCell ref="F64:G64"/>
    <mergeCell ref="F65:G65"/>
    <mergeCell ref="F66:G66"/>
    <mergeCell ref="H67:J67"/>
    <mergeCell ref="L62:O62"/>
    <mergeCell ref="L63:O63"/>
    <mergeCell ref="L64:O64"/>
    <mergeCell ref="L65:O65"/>
    <mergeCell ref="H66:J66"/>
    <mergeCell ref="H63:J63"/>
    <mergeCell ref="H64:J64"/>
    <mergeCell ref="F55:G55"/>
    <mergeCell ref="F56:G56"/>
    <mergeCell ref="F57:G57"/>
    <mergeCell ref="F58:G58"/>
    <mergeCell ref="F59:G59"/>
    <mergeCell ref="F60:G60"/>
    <mergeCell ref="F61:G61"/>
    <mergeCell ref="F62:G62"/>
    <mergeCell ref="F63:G63"/>
    <mergeCell ref="H68:J68"/>
    <mergeCell ref="H37:J37"/>
    <mergeCell ref="H38:J38"/>
    <mergeCell ref="H39:J39"/>
    <mergeCell ref="H40:J40"/>
    <mergeCell ref="H41:J41"/>
    <mergeCell ref="H42:J42"/>
    <mergeCell ref="H43:J43"/>
    <mergeCell ref="H44:J44"/>
    <mergeCell ref="H45:J45"/>
    <mergeCell ref="H46:J46"/>
    <mergeCell ref="H47:J47"/>
    <mergeCell ref="H51:J51"/>
    <mergeCell ref="H52:J52"/>
    <mergeCell ref="H65:J65"/>
    <mergeCell ref="H60:J60"/>
    <mergeCell ref="H61:J61"/>
    <mergeCell ref="H62:J62"/>
    <mergeCell ref="L68:O68"/>
    <mergeCell ref="AD17:AE17"/>
    <mergeCell ref="S15:V15"/>
    <mergeCell ref="L28:O28"/>
    <mergeCell ref="L29:O29"/>
    <mergeCell ref="L30:O30"/>
    <mergeCell ref="L31:O31"/>
    <mergeCell ref="L32:O32"/>
    <mergeCell ref="L33:O33"/>
    <mergeCell ref="P28:R28"/>
    <mergeCell ref="S33:T33"/>
    <mergeCell ref="L48:O48"/>
    <mergeCell ref="L49:O49"/>
    <mergeCell ref="L50:O50"/>
    <mergeCell ref="L51:O51"/>
    <mergeCell ref="L52:O52"/>
    <mergeCell ref="L53:O53"/>
    <mergeCell ref="L54:O54"/>
    <mergeCell ref="L55:O55"/>
    <mergeCell ref="L60:O60"/>
    <mergeCell ref="L61:O61"/>
    <mergeCell ref="L66:O66"/>
    <mergeCell ref="L67:O67"/>
    <mergeCell ref="P67:R67"/>
  </mergeCells>
  <conditionalFormatting sqref="X69 AC69:AE69 AD22:AE23 AD25:AE68">
    <cfRule type="containsText" dxfId="47" priority="46" stopIfTrue="1" operator="containsText" text="EXTREME">
      <formula>NOT(ISERROR(SEARCH("EXTREME",X22)))</formula>
    </cfRule>
    <cfRule type="containsText" dxfId="46" priority="48" stopIfTrue="1" operator="containsText" text="MODERATE">
      <formula>NOT(ISERROR(SEARCH("MODERATE",X22)))</formula>
    </cfRule>
  </conditionalFormatting>
  <conditionalFormatting sqref="AD21:AE21">
    <cfRule type="containsText" dxfId="45" priority="36" stopIfTrue="1" operator="containsText" text="EXTREME">
      <formula>NOT(ISERROR(SEARCH("EXTREME",AD21)))</formula>
    </cfRule>
    <cfRule type="containsText" dxfId="44" priority="38" stopIfTrue="1" operator="containsText" text="MODERATE">
      <formula>NOT(ISERROR(SEARCH("MODERATE",AD21)))</formula>
    </cfRule>
  </conditionalFormatting>
  <conditionalFormatting sqref="AD20:AE20">
    <cfRule type="containsText" dxfId="43" priority="31" stopIfTrue="1" operator="containsText" text="EXTREME">
      <formula>NOT(ISERROR(SEARCH("EXTREME",AD20)))</formula>
    </cfRule>
    <cfRule type="containsText" dxfId="42" priority="33" stopIfTrue="1" operator="containsText" text="MODERATE">
      <formula>NOT(ISERROR(SEARCH("MODERATE",AD20)))</formula>
    </cfRule>
  </conditionalFormatting>
  <conditionalFormatting sqref="AC19:AE19 AC20:AC23 X19:X23 X25:X68 AC25:AC68">
    <cfRule type="containsText" dxfId="41" priority="26" stopIfTrue="1" operator="containsText" text="EXTREME">
      <formula>NOT(ISERROR(SEARCH("EXTREME",X19)))</formula>
    </cfRule>
    <cfRule type="containsText" dxfId="40" priority="28" stopIfTrue="1" operator="containsText" text="MODERATE">
      <formula>NOT(ISERROR(SEARCH("MODERATE",X19)))</formula>
    </cfRule>
  </conditionalFormatting>
  <conditionalFormatting sqref="AD24:AE24">
    <cfRule type="containsText" dxfId="39" priority="6" stopIfTrue="1" operator="containsText" text="EXTREME">
      <formula>NOT(ISERROR(SEARCH("EXTREME",AD24)))</formula>
    </cfRule>
    <cfRule type="containsText" dxfId="38" priority="8" stopIfTrue="1" operator="containsText" text="MODERATE">
      <formula>NOT(ISERROR(SEARCH("MODERATE",AD24)))</formula>
    </cfRule>
  </conditionalFormatting>
  <conditionalFormatting sqref="AC24 X24">
    <cfRule type="containsText" dxfId="37" priority="1" stopIfTrue="1" operator="containsText" text="EXTREME">
      <formula>NOT(ISERROR(SEARCH("EXTREME",X24)))</formula>
    </cfRule>
    <cfRule type="containsText" dxfId="36" priority="3" stopIfTrue="1" operator="containsText" text="MODERATE">
      <formula>NOT(ISERROR(SEARCH("MODERATE",X24)))</formula>
    </cfRule>
  </conditionalFormatting>
  <printOptions horizontalCentered="1"/>
  <pageMargins left="0.15748031496062992" right="0.19685039370078741" top="0.55118110236220474" bottom="0.39370078740157483" header="0.35433070866141736" footer="0.23622047244094491"/>
  <pageSetup paperSize="8" scale="55" orientation="landscape" r:id="rId1"/>
  <headerFooter>
    <oddFooter>&amp;L&amp;8&amp;F&amp;C&amp;"Arial,Gras"&amp;8&amp;P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6" r:id="rId4" name="Button 26">
              <controlPr defaultSize="0" print="0" autoFill="0" autoPict="0" macro="[0]!Add_New_Row_Below">
                <anchor moveWithCells="1" sizeWithCells="1">
                  <from>
                    <xdr:col>5</xdr:col>
                    <xdr:colOff>0</xdr:colOff>
                    <xdr:row>12</xdr:row>
                    <xdr:rowOff>104775</xdr:rowOff>
                  </from>
                  <to>
                    <xdr:col>6</xdr:col>
                    <xdr:colOff>895350</xdr:colOff>
                    <xdr:row>14</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47" stopIfTrue="1" operator="containsText" id="{C1CA7711-7319-4A5D-B0F8-71BC379D7DAC}">
            <xm:f>NOT(ISERROR(SEARCH("HIGH",X22)))</xm:f>
            <xm:f>"HIGH"</xm:f>
            <x14:dxf>
              <font>
                <b/>
                <i val="0"/>
                <color theme="0"/>
              </font>
              <fill>
                <patternFill>
                  <bgColor rgb="FFFF0000"/>
                </patternFill>
              </fill>
            </x14:dxf>
          </x14:cfRule>
          <x14:cfRule type="containsText" priority="56" stopIfTrue="1" operator="containsText" id="{683725A6-4D8B-4074-A35A-5948679581DC}">
            <xm:f>NOT(ISERROR(SEARCH("LOW",X22)))</xm:f>
            <xm:f>"LOW"</xm:f>
            <x14:dxf>
              <font>
                <b/>
                <i val="0"/>
                <color auto="1"/>
              </font>
              <fill>
                <patternFill>
                  <bgColor rgb="FFFFFF00"/>
                </patternFill>
              </fill>
            </x14:dxf>
          </x14:cfRule>
          <x14:cfRule type="containsText" priority="57" stopIfTrue="1" operator="containsText" id="{F374ABAC-E485-46EC-92D8-3BF6955F4B44}">
            <xm:f>NOT(ISERROR(SEARCH("NEGLIGIBLE",X22)))</xm:f>
            <xm:f>"NEGLIGIBLE"</xm:f>
            <x14:dxf>
              <font>
                <b/>
                <i val="0"/>
                <color auto="1"/>
              </font>
              <fill>
                <patternFill>
                  <bgColor rgb="FF00B050"/>
                </patternFill>
              </fill>
            </x14:dxf>
          </x14:cfRule>
          <xm:sqref>X69 AC69:AE69 AD22:AE23 AD25:AE68</xm:sqref>
        </x14:conditionalFormatting>
        <x14:conditionalFormatting xmlns:xm="http://schemas.microsoft.com/office/excel/2006/main">
          <x14:cfRule type="containsText" priority="37" stopIfTrue="1" operator="containsText" id="{D2C4EE7D-E964-404B-81E7-4D5BFB5A8CD2}">
            <xm:f>NOT(ISERROR(SEARCH("HIGH",AD21)))</xm:f>
            <xm:f>"HIGH"</xm:f>
            <x14:dxf>
              <font>
                <b/>
                <i val="0"/>
                <color theme="0"/>
              </font>
              <fill>
                <patternFill>
                  <bgColor rgb="FFFF0000"/>
                </patternFill>
              </fill>
            </x14:dxf>
          </x14:cfRule>
          <x14:cfRule type="containsText" priority="39" stopIfTrue="1" operator="containsText" id="{B5EF109F-6D3F-479D-A2D9-FA985AA96C13}">
            <xm:f>NOT(ISERROR(SEARCH("LOW",AD21)))</xm:f>
            <xm:f>"LOW"</xm:f>
            <x14:dxf>
              <font>
                <b/>
                <i val="0"/>
                <color auto="1"/>
              </font>
              <fill>
                <patternFill>
                  <bgColor rgb="FFFFFF00"/>
                </patternFill>
              </fill>
            </x14:dxf>
          </x14:cfRule>
          <x14:cfRule type="containsText" priority="40" stopIfTrue="1" operator="containsText" id="{29F771F8-3CB5-45AD-A0A5-2B33B4E57891}">
            <xm:f>NOT(ISERROR(SEARCH("NEGLIGIBLE",AD21)))</xm:f>
            <xm:f>"NEGLIGIBLE"</xm:f>
            <x14:dxf>
              <font>
                <b/>
                <i val="0"/>
                <color auto="1"/>
              </font>
              <fill>
                <patternFill>
                  <bgColor rgb="FF00B050"/>
                </patternFill>
              </fill>
            </x14:dxf>
          </x14:cfRule>
          <xm:sqref>AD21:AE21</xm:sqref>
        </x14:conditionalFormatting>
        <x14:conditionalFormatting xmlns:xm="http://schemas.microsoft.com/office/excel/2006/main">
          <x14:cfRule type="containsText" priority="32" stopIfTrue="1" operator="containsText" id="{658A95EC-2149-4139-AC46-1AB523387075}">
            <xm:f>NOT(ISERROR(SEARCH("HIGH",AD20)))</xm:f>
            <xm:f>"HIGH"</xm:f>
            <x14:dxf>
              <font>
                <b/>
                <i val="0"/>
                <color theme="0"/>
              </font>
              <fill>
                <patternFill>
                  <bgColor rgb="FFFF0000"/>
                </patternFill>
              </fill>
            </x14:dxf>
          </x14:cfRule>
          <x14:cfRule type="containsText" priority="34" stopIfTrue="1" operator="containsText" id="{E0CC0081-9E4F-4A49-8437-AD75053DA827}">
            <xm:f>NOT(ISERROR(SEARCH("LOW",AD20)))</xm:f>
            <xm:f>"LOW"</xm:f>
            <x14:dxf>
              <font>
                <b/>
                <i val="0"/>
                <color auto="1"/>
              </font>
              <fill>
                <patternFill>
                  <bgColor rgb="FFFFFF00"/>
                </patternFill>
              </fill>
            </x14:dxf>
          </x14:cfRule>
          <x14:cfRule type="containsText" priority="35" stopIfTrue="1" operator="containsText" id="{01874ED0-06E1-43BF-B8B6-131490088C2C}">
            <xm:f>NOT(ISERROR(SEARCH("NEGLIGIBLE",AD20)))</xm:f>
            <xm:f>"NEGLIGIBLE"</xm:f>
            <x14:dxf>
              <font>
                <b/>
                <i val="0"/>
                <color auto="1"/>
              </font>
              <fill>
                <patternFill>
                  <bgColor rgb="FF00B050"/>
                </patternFill>
              </fill>
            </x14:dxf>
          </x14:cfRule>
          <xm:sqref>AD20:AE20</xm:sqref>
        </x14:conditionalFormatting>
        <x14:conditionalFormatting xmlns:xm="http://schemas.microsoft.com/office/excel/2006/main">
          <x14:cfRule type="containsText" priority="27" stopIfTrue="1" operator="containsText" id="{8EC9827A-E6ED-42BF-A561-0D49F6CE6C64}">
            <xm:f>NOT(ISERROR(SEARCH("HIGH",X19)))</xm:f>
            <xm:f>"HIGH"</xm:f>
            <x14:dxf>
              <font>
                <b/>
                <i val="0"/>
                <color theme="0"/>
              </font>
              <fill>
                <patternFill>
                  <bgColor rgb="FFFF0000"/>
                </patternFill>
              </fill>
            </x14:dxf>
          </x14:cfRule>
          <x14:cfRule type="containsText" priority="29" stopIfTrue="1" operator="containsText" id="{520D2DE7-FDAC-4EDD-A674-FB1B6E23C68F}">
            <xm:f>NOT(ISERROR(SEARCH("MINOR",X19)))</xm:f>
            <xm:f>"MINOR"</xm:f>
            <x14:dxf>
              <font>
                <b/>
                <i val="0"/>
                <color auto="1"/>
              </font>
              <fill>
                <patternFill>
                  <bgColor rgb="FFFFFF00"/>
                </patternFill>
              </fill>
            </x14:dxf>
          </x14:cfRule>
          <x14:cfRule type="containsText" priority="30" stopIfTrue="1" operator="containsText" id="{C982CFB4-EAC3-4E02-B76A-EF7780DEC09C}">
            <xm:f>NOT(ISERROR(SEARCH("NEGLIGIBLE",X19)))</xm:f>
            <xm:f>"NEGLIGIBLE"</xm:f>
            <x14:dxf>
              <font>
                <b/>
                <i val="0"/>
                <color theme="0"/>
              </font>
              <fill>
                <patternFill>
                  <bgColor rgb="FF008000"/>
                </patternFill>
              </fill>
            </x14:dxf>
          </x14:cfRule>
          <xm:sqref>AC19:AE19 AC20:AC23 X19:X23 X25:X68 AC25:AC68</xm:sqref>
        </x14:conditionalFormatting>
        <x14:conditionalFormatting xmlns:xm="http://schemas.microsoft.com/office/excel/2006/main">
          <x14:cfRule type="containsText" priority="7" stopIfTrue="1" operator="containsText" id="{4725E993-A162-4354-A1A9-F566E6426854}">
            <xm:f>NOT(ISERROR(SEARCH("HIGH",AD24)))</xm:f>
            <xm:f>"HIGH"</xm:f>
            <x14:dxf>
              <font>
                <b/>
                <i val="0"/>
                <color theme="0"/>
              </font>
              <fill>
                <patternFill>
                  <bgColor rgb="FFFF0000"/>
                </patternFill>
              </fill>
            </x14:dxf>
          </x14:cfRule>
          <x14:cfRule type="containsText" priority="9" stopIfTrue="1" operator="containsText" id="{84521662-D095-4A1B-A2F2-8B358946267A}">
            <xm:f>NOT(ISERROR(SEARCH("LOW",AD24)))</xm:f>
            <xm:f>"LOW"</xm:f>
            <x14:dxf>
              <font>
                <b/>
                <i val="0"/>
                <color auto="1"/>
              </font>
              <fill>
                <patternFill>
                  <bgColor rgb="FFFFFF00"/>
                </patternFill>
              </fill>
            </x14:dxf>
          </x14:cfRule>
          <x14:cfRule type="containsText" priority="10" stopIfTrue="1" operator="containsText" id="{9BF8BF58-DADD-47C3-BF0B-53A25A29323C}">
            <xm:f>NOT(ISERROR(SEARCH("NEGLIGIBLE",AD24)))</xm:f>
            <xm:f>"NEGLIGIBLE"</xm:f>
            <x14:dxf>
              <font>
                <b/>
                <i val="0"/>
                <color auto="1"/>
              </font>
              <fill>
                <patternFill>
                  <bgColor rgb="FF00B050"/>
                </patternFill>
              </fill>
            </x14:dxf>
          </x14:cfRule>
          <xm:sqref>AD24:AE24</xm:sqref>
        </x14:conditionalFormatting>
        <x14:conditionalFormatting xmlns:xm="http://schemas.microsoft.com/office/excel/2006/main">
          <x14:cfRule type="containsText" priority="2" stopIfTrue="1" operator="containsText" id="{8B2F61CA-B120-48E2-BB5C-A7F6C3CB1C22}">
            <xm:f>NOT(ISERROR(SEARCH("HIGH",X24)))</xm:f>
            <xm:f>"HIGH"</xm:f>
            <x14:dxf>
              <font>
                <b/>
                <i val="0"/>
                <color theme="0"/>
              </font>
              <fill>
                <patternFill>
                  <bgColor rgb="FFFF0000"/>
                </patternFill>
              </fill>
            </x14:dxf>
          </x14:cfRule>
          <x14:cfRule type="containsText" priority="4" stopIfTrue="1" operator="containsText" id="{682C58F7-3006-4437-98B6-E0FAD91CB220}">
            <xm:f>NOT(ISERROR(SEARCH("MINOR",X24)))</xm:f>
            <xm:f>"MINOR"</xm:f>
            <x14:dxf>
              <font>
                <b/>
                <i val="0"/>
                <color auto="1"/>
              </font>
              <fill>
                <patternFill>
                  <bgColor rgb="FFFFFF00"/>
                </patternFill>
              </fill>
            </x14:dxf>
          </x14:cfRule>
          <x14:cfRule type="containsText" priority="5" stopIfTrue="1" operator="containsText" id="{99D22F1C-76B4-4829-AC0B-773A3CD96086}">
            <xm:f>NOT(ISERROR(SEARCH("NEGLIGIBLE",X24)))</xm:f>
            <xm:f>"NEGLIGIBLE"</xm:f>
            <x14:dxf>
              <font>
                <b/>
                <i val="0"/>
                <color theme="0"/>
              </font>
              <fill>
                <patternFill>
                  <bgColor rgb="FF008000"/>
                </patternFill>
              </fill>
            </x14:dxf>
          </x14:cfRule>
          <xm:sqref>AC24 X24</xm:sqref>
        </x14:conditionalFormatting>
      </x14:conditionalFormattings>
    </ext>
    <ext xmlns:x14="http://schemas.microsoft.com/office/spreadsheetml/2009/9/main" uri="{CCE6A557-97BC-4b89-ADB6-D9C93CAAB3DF}">
      <x14:dataValidations xmlns:xm="http://schemas.microsoft.com/office/excel/2006/main" count="3">
        <x14:dataValidation type="list" operator="equal" allowBlank="1" showInputMessage="1" showErrorMessage="1" xr:uid="{00000000-0002-0000-0100-000000000000}">
          <x14:formula1>
            <xm:f>Liste!$A$11:$A$15</xm:f>
          </x14:formula1>
          <xm:sqref>U19:U69 Z19:Z69</xm:sqref>
        </x14:dataValidation>
        <x14:dataValidation type="list" operator="equal" allowBlank="1" showInputMessage="1" showErrorMessage="1" xr:uid="{00000000-0002-0000-0100-000001000000}">
          <x14:formula1>
            <xm:f>Liste!$A$3:$A$7</xm:f>
          </x14:formula1>
          <xm:sqref>V19:V69 AA19:AA69</xm:sqref>
        </x14:dataValidation>
        <x14:dataValidation type="list" allowBlank="1" showInputMessage="1" showErrorMessage="1" xr:uid="{00000000-0002-0000-0100-000002000000}">
          <x14:formula1>
            <xm:f>REFERENCES!$C$2:$C$60</xm:f>
          </x14:formula1>
          <xm:sqref>D19:D69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24"/>
  <sheetViews>
    <sheetView showGridLines="0" zoomScaleNormal="100" workbookViewId="0">
      <selection activeCell="A2" sqref="A2"/>
    </sheetView>
  </sheetViews>
  <sheetFormatPr defaultColWidth="11.42578125" defaultRowHeight="12.75"/>
  <cols>
    <col min="1" max="5" width="28.85546875" customWidth="1"/>
  </cols>
  <sheetData>
    <row r="1" spans="1:5" s="8" customFormat="1" ht="13.5" customHeight="1">
      <c r="A1" s="8" t="str">
        <f>'Cover Page'!A4</f>
        <v xml:space="preserve">Station / Business Unit: </v>
      </c>
      <c r="C1" s="8" t="str">
        <f>'Cover Page'!G4</f>
        <v xml:space="preserve">Type of Operation: </v>
      </c>
      <c r="E1" s="16"/>
    </row>
    <row r="2" spans="1:5" ht="123" customHeight="1">
      <c r="A2" s="7"/>
      <c r="B2" s="7"/>
      <c r="C2" s="7"/>
      <c r="D2" s="41"/>
      <c r="E2" s="7"/>
    </row>
    <row r="3" spans="1:5" s="15" customFormat="1" ht="8.25" customHeight="1">
      <c r="A3" s="14">
        <v>1</v>
      </c>
      <c r="B3" s="14">
        <v>2</v>
      </c>
      <c r="C3" s="14">
        <v>3</v>
      </c>
      <c r="D3" s="14">
        <v>4</v>
      </c>
      <c r="E3" s="14">
        <v>5</v>
      </c>
    </row>
    <row r="4" spans="1:5" ht="123" customHeight="1">
      <c r="A4" s="7"/>
      <c r="B4" s="7"/>
      <c r="C4" s="7"/>
      <c r="D4" s="40"/>
      <c r="E4" s="40"/>
    </row>
    <row r="5" spans="1:5" s="15" customFormat="1" ht="11.1" customHeight="1">
      <c r="A5" s="14">
        <v>6</v>
      </c>
      <c r="B5" s="14">
        <v>7</v>
      </c>
      <c r="C5" s="14">
        <v>8</v>
      </c>
      <c r="D5" s="14">
        <v>9</v>
      </c>
      <c r="E5" s="14">
        <v>10</v>
      </c>
    </row>
    <row r="6" spans="1:5" ht="123" customHeight="1">
      <c r="A6" s="7"/>
      <c r="B6" s="7"/>
      <c r="C6" s="7"/>
      <c r="D6" s="7"/>
      <c r="E6" s="7"/>
    </row>
    <row r="7" spans="1:5" s="15" customFormat="1" ht="11.1" customHeight="1">
      <c r="A7" s="14">
        <v>11</v>
      </c>
      <c r="B7" s="14">
        <v>12</v>
      </c>
      <c r="C7" s="14">
        <v>13</v>
      </c>
      <c r="D7" s="14">
        <v>14</v>
      </c>
      <c r="E7" s="14">
        <v>15</v>
      </c>
    </row>
    <row r="8" spans="1:5" ht="123" customHeight="1">
      <c r="A8" s="7"/>
      <c r="B8" s="7"/>
      <c r="C8" s="7"/>
      <c r="D8" s="7"/>
      <c r="E8" s="7"/>
    </row>
    <row r="9" spans="1:5" s="15" customFormat="1" ht="11.1" customHeight="1">
      <c r="A9" s="14">
        <v>16</v>
      </c>
      <c r="B9" s="14">
        <v>17</v>
      </c>
      <c r="C9" s="14">
        <v>18</v>
      </c>
      <c r="D9" s="14">
        <v>19</v>
      </c>
      <c r="E9" s="14">
        <v>20</v>
      </c>
    </row>
    <row r="10" spans="1:5" ht="123" customHeight="1">
      <c r="A10" s="7"/>
      <c r="B10" s="7"/>
      <c r="C10" s="7"/>
      <c r="D10" s="7"/>
      <c r="E10" s="7"/>
    </row>
    <row r="11" spans="1:5" s="15" customFormat="1" ht="11.1" customHeight="1">
      <c r="A11" s="14">
        <v>21</v>
      </c>
      <c r="B11" s="14">
        <v>22</v>
      </c>
      <c r="C11" s="14">
        <v>23</v>
      </c>
      <c r="D11" s="14">
        <v>24</v>
      </c>
      <c r="E11" s="14">
        <v>25</v>
      </c>
    </row>
    <row r="12" spans="1:5" ht="123" customHeight="1">
      <c r="A12" s="7"/>
      <c r="B12" s="7"/>
      <c r="C12" s="7"/>
      <c r="D12" s="7"/>
      <c r="E12" s="7"/>
    </row>
    <row r="13" spans="1:5" s="15" customFormat="1" ht="11.1" customHeight="1">
      <c r="A13" s="14">
        <v>26</v>
      </c>
      <c r="B13" s="14">
        <v>27</v>
      </c>
      <c r="C13" s="14">
        <v>28</v>
      </c>
      <c r="D13" s="14">
        <v>29</v>
      </c>
      <c r="E13" s="14">
        <v>30</v>
      </c>
    </row>
    <row r="14" spans="1:5" ht="123" customHeight="1">
      <c r="A14" s="7"/>
      <c r="B14" s="7"/>
      <c r="C14" s="7"/>
      <c r="D14" s="7"/>
      <c r="E14" s="7"/>
    </row>
    <row r="15" spans="1:5" s="15" customFormat="1" ht="11.1" customHeight="1">
      <c r="A15" s="14">
        <v>31</v>
      </c>
      <c r="B15" s="14">
        <v>32</v>
      </c>
      <c r="C15" s="14">
        <v>33</v>
      </c>
      <c r="D15" s="14">
        <v>34</v>
      </c>
      <c r="E15" s="14">
        <v>35</v>
      </c>
    </row>
    <row r="16" spans="1:5" ht="123" customHeight="1">
      <c r="A16" s="7"/>
      <c r="B16" s="7"/>
      <c r="C16" s="7"/>
      <c r="D16" s="7"/>
      <c r="E16" s="7"/>
    </row>
    <row r="17" spans="1:5" s="15" customFormat="1" ht="11.1" customHeight="1">
      <c r="A17" s="14">
        <v>36</v>
      </c>
      <c r="B17" s="14">
        <v>37</v>
      </c>
      <c r="C17" s="14">
        <v>38</v>
      </c>
      <c r="D17" s="14">
        <v>39</v>
      </c>
      <c r="E17" s="14">
        <v>40</v>
      </c>
    </row>
    <row r="18" spans="1:5" ht="123" customHeight="1">
      <c r="A18" s="7"/>
      <c r="B18" s="7"/>
      <c r="C18" s="7"/>
      <c r="D18" s="7"/>
      <c r="E18" s="7"/>
    </row>
    <row r="19" spans="1:5" s="15" customFormat="1" ht="11.1" customHeight="1">
      <c r="A19" s="14">
        <v>40</v>
      </c>
      <c r="B19" s="14">
        <v>42</v>
      </c>
      <c r="C19" s="14">
        <v>43</v>
      </c>
      <c r="D19" s="14">
        <v>44</v>
      </c>
      <c r="E19" s="14">
        <v>45</v>
      </c>
    </row>
    <row r="20" spans="1:5" ht="123" customHeight="1">
      <c r="A20" s="7"/>
      <c r="B20" s="7"/>
      <c r="C20" s="7"/>
      <c r="D20" s="7"/>
      <c r="E20" s="7"/>
    </row>
    <row r="21" spans="1:5" s="15" customFormat="1" ht="11.1" customHeight="1">
      <c r="A21" s="14">
        <v>46</v>
      </c>
      <c r="B21" s="14">
        <v>47</v>
      </c>
      <c r="C21" s="14">
        <v>48</v>
      </c>
      <c r="D21" s="14">
        <v>49</v>
      </c>
      <c r="E21" s="14">
        <v>50</v>
      </c>
    </row>
    <row r="24" spans="1:5">
      <c r="A24" s="31"/>
      <c r="B24" s="39"/>
    </row>
  </sheetData>
  <pageMargins left="0.23622047244094491" right="0.23622047244094491" top="0.39370078740157483" bottom="0.35" header="0.31496062992125984" footer="0.16"/>
  <pageSetup paperSize="9" orientation="landscape" r:id="rId1"/>
  <headerFooter>
    <oddFooter>&amp;L&amp;8&amp;F&amp;C&amp;"Arial,Gras"&amp;8&amp;P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F60"/>
  <sheetViews>
    <sheetView showGridLines="0" zoomScaleNormal="100" workbookViewId="0">
      <selection activeCell="F1" sqref="F1"/>
    </sheetView>
  </sheetViews>
  <sheetFormatPr defaultColWidth="11.42578125" defaultRowHeight="15"/>
  <cols>
    <col min="1" max="1" width="2.7109375" style="10" customWidth="1"/>
    <col min="2" max="2" width="31.7109375" style="11" customWidth="1"/>
    <col min="3" max="3" width="4.5703125" style="12" customWidth="1"/>
    <col min="4" max="4" width="68.140625" style="9" customWidth="1"/>
    <col min="5" max="16384" width="11.42578125" style="9"/>
  </cols>
  <sheetData>
    <row r="1" spans="1:6" ht="22.5" customHeight="1">
      <c r="A1" s="336" t="s">
        <v>57</v>
      </c>
      <c r="B1" s="337"/>
      <c r="C1" s="337"/>
      <c r="D1" s="337"/>
      <c r="F1" s="54"/>
    </row>
    <row r="2" spans="1:6" ht="15" customHeight="1">
      <c r="A2" s="338" t="s">
        <v>4</v>
      </c>
      <c r="B2" s="341" t="s">
        <v>60</v>
      </c>
      <c r="C2" s="43" t="s">
        <v>13</v>
      </c>
      <c r="D2" s="152" t="s">
        <v>219</v>
      </c>
      <c r="F2" s="54"/>
    </row>
    <row r="3" spans="1:6" ht="14.45" customHeight="1">
      <c r="A3" s="339"/>
      <c r="B3" s="342"/>
      <c r="C3" s="43" t="s">
        <v>14</v>
      </c>
      <c r="D3" s="152" t="s">
        <v>217</v>
      </c>
      <c r="F3" s="54"/>
    </row>
    <row r="4" spans="1:6" ht="15" customHeight="1">
      <c r="A4" s="339"/>
      <c r="B4" s="342"/>
      <c r="C4" s="43" t="s">
        <v>15</v>
      </c>
      <c r="D4" s="155" t="s">
        <v>222</v>
      </c>
      <c r="F4" s="54"/>
    </row>
    <row r="5" spans="1:6" ht="15" customHeight="1">
      <c r="A5" s="339"/>
      <c r="B5" s="342"/>
      <c r="C5" s="43" t="s">
        <v>16</v>
      </c>
      <c r="D5" s="155" t="s">
        <v>223</v>
      </c>
      <c r="F5" s="54"/>
    </row>
    <row r="6" spans="1:6">
      <c r="A6" s="339"/>
      <c r="B6" s="342"/>
      <c r="C6" s="43" t="s">
        <v>17</v>
      </c>
      <c r="D6" s="53" t="s">
        <v>106</v>
      </c>
      <c r="F6" s="54"/>
    </row>
    <row r="7" spans="1:6">
      <c r="A7" s="339"/>
      <c r="B7" s="342"/>
      <c r="C7" s="43" t="s">
        <v>18</v>
      </c>
      <c r="D7" s="144" t="s">
        <v>209</v>
      </c>
      <c r="F7" s="54"/>
    </row>
    <row r="8" spans="1:6" ht="30">
      <c r="A8" s="339"/>
      <c r="B8" s="342"/>
      <c r="C8" s="43" t="s">
        <v>37</v>
      </c>
      <c r="D8" s="249" t="s">
        <v>326</v>
      </c>
      <c r="F8" s="54"/>
    </row>
    <row r="9" spans="1:6">
      <c r="A9" s="339"/>
      <c r="B9" s="342"/>
      <c r="C9" s="43" t="s">
        <v>108</v>
      </c>
      <c r="D9" s="45" t="s">
        <v>61</v>
      </c>
      <c r="F9" s="54"/>
    </row>
    <row r="10" spans="1:6">
      <c r="A10" s="340"/>
      <c r="B10" s="343"/>
      <c r="C10" s="43" t="s">
        <v>325</v>
      </c>
      <c r="D10" s="53" t="s">
        <v>62</v>
      </c>
      <c r="F10" s="54"/>
    </row>
    <row r="11" spans="1:6" ht="14.45" customHeight="1">
      <c r="A11" s="344" t="s">
        <v>5</v>
      </c>
      <c r="B11" s="345" t="s">
        <v>66</v>
      </c>
      <c r="C11" s="44" t="s">
        <v>0</v>
      </c>
      <c r="D11" s="60" t="s">
        <v>124</v>
      </c>
      <c r="F11" s="54"/>
    </row>
    <row r="12" spans="1:6">
      <c r="A12" s="344"/>
      <c r="B12" s="346"/>
      <c r="C12" s="44" t="s">
        <v>1</v>
      </c>
      <c r="D12" s="46" t="s">
        <v>69</v>
      </c>
      <c r="F12" s="54"/>
    </row>
    <row r="13" spans="1:6" ht="15" customHeight="1">
      <c r="A13" s="344"/>
      <c r="B13" s="346"/>
      <c r="C13" s="44" t="s">
        <v>19</v>
      </c>
      <c r="D13" s="50" t="s">
        <v>67</v>
      </c>
      <c r="F13" s="54"/>
    </row>
    <row r="14" spans="1:6">
      <c r="A14" s="344"/>
      <c r="B14" s="347"/>
      <c r="C14" s="44" t="s">
        <v>34</v>
      </c>
      <c r="D14" s="46" t="s">
        <v>68</v>
      </c>
      <c r="F14" s="54"/>
    </row>
    <row r="15" spans="1:6">
      <c r="A15" s="344" t="s">
        <v>6</v>
      </c>
      <c r="B15" s="341" t="s">
        <v>63</v>
      </c>
      <c r="C15" s="43" t="s">
        <v>20</v>
      </c>
      <c r="D15" s="45" t="s">
        <v>64</v>
      </c>
      <c r="F15" s="54"/>
    </row>
    <row r="16" spans="1:6">
      <c r="A16" s="344"/>
      <c r="B16" s="342"/>
      <c r="C16" s="43" t="s">
        <v>35</v>
      </c>
      <c r="D16" s="45" t="s">
        <v>65</v>
      </c>
      <c r="F16" s="54"/>
    </row>
    <row r="17" spans="1:4">
      <c r="A17" s="344"/>
      <c r="B17" s="343"/>
      <c r="C17" s="43" t="s">
        <v>36</v>
      </c>
      <c r="D17" s="160" t="s">
        <v>228</v>
      </c>
    </row>
    <row r="18" spans="1:4">
      <c r="A18" s="43" t="s">
        <v>7</v>
      </c>
      <c r="B18" s="56" t="s">
        <v>107</v>
      </c>
      <c r="C18" s="43" t="s">
        <v>21</v>
      </c>
      <c r="D18" s="151" t="s">
        <v>220</v>
      </c>
    </row>
    <row r="19" spans="1:4" ht="14.45" customHeight="1">
      <c r="A19" s="338" t="s">
        <v>8</v>
      </c>
      <c r="B19" s="341" t="s">
        <v>71</v>
      </c>
      <c r="C19" s="44" t="s">
        <v>22</v>
      </c>
      <c r="D19" s="258" t="s">
        <v>346</v>
      </c>
    </row>
    <row r="20" spans="1:4" ht="14.45" customHeight="1">
      <c r="A20" s="339"/>
      <c r="B20" s="342"/>
      <c r="C20" s="44" t="s">
        <v>23</v>
      </c>
      <c r="D20" s="49" t="s">
        <v>72</v>
      </c>
    </row>
    <row r="21" spans="1:4" ht="15" customHeight="1">
      <c r="A21" s="344" t="s">
        <v>9</v>
      </c>
      <c r="B21" s="345" t="s">
        <v>70</v>
      </c>
      <c r="C21" s="44" t="s">
        <v>24</v>
      </c>
      <c r="D21" s="257" t="s">
        <v>345</v>
      </c>
    </row>
    <row r="22" spans="1:4" ht="15" customHeight="1">
      <c r="A22" s="344"/>
      <c r="B22" s="346"/>
      <c r="C22" s="44" t="s">
        <v>29</v>
      </c>
      <c r="D22" s="58" t="s">
        <v>112</v>
      </c>
    </row>
    <row r="23" spans="1:4" ht="15" customHeight="1">
      <c r="A23" s="344"/>
      <c r="B23" s="347"/>
      <c r="C23" s="44" t="s">
        <v>344</v>
      </c>
      <c r="D23" s="161" t="s">
        <v>229</v>
      </c>
    </row>
    <row r="24" spans="1:4" ht="14.45" customHeight="1">
      <c r="A24" s="43" t="s">
        <v>12</v>
      </c>
      <c r="B24" s="162" t="s">
        <v>230</v>
      </c>
      <c r="C24" s="44" t="s">
        <v>25</v>
      </c>
      <c r="D24" s="55" t="s">
        <v>109</v>
      </c>
    </row>
    <row r="25" spans="1:4" ht="14.45" customHeight="1">
      <c r="A25" s="338" t="s">
        <v>10</v>
      </c>
      <c r="B25" s="348" t="s">
        <v>111</v>
      </c>
      <c r="C25" s="44" t="s">
        <v>26</v>
      </c>
      <c r="D25" s="57" t="s">
        <v>110</v>
      </c>
    </row>
    <row r="26" spans="1:4" ht="14.45" customHeight="1">
      <c r="A26" s="340"/>
      <c r="B26" s="349"/>
      <c r="C26" s="44" t="s">
        <v>27</v>
      </c>
      <c r="D26" s="57" t="s">
        <v>113</v>
      </c>
    </row>
    <row r="27" spans="1:4" ht="14.45" customHeight="1">
      <c r="A27" s="182" t="s">
        <v>11</v>
      </c>
      <c r="B27" s="186" t="s">
        <v>248</v>
      </c>
      <c r="C27" s="44" t="s">
        <v>28</v>
      </c>
      <c r="D27" s="238" t="s">
        <v>280</v>
      </c>
    </row>
    <row r="28" spans="1:4" ht="14.45" customHeight="1">
      <c r="A28" s="344" t="s">
        <v>31</v>
      </c>
      <c r="B28" s="345" t="s">
        <v>73</v>
      </c>
      <c r="C28" s="44" t="s">
        <v>32</v>
      </c>
      <c r="D28" s="50" t="s">
        <v>74</v>
      </c>
    </row>
    <row r="29" spans="1:4">
      <c r="A29" s="344"/>
      <c r="B29" s="346"/>
      <c r="C29" s="44" t="s">
        <v>33</v>
      </c>
      <c r="D29" s="192" t="s">
        <v>75</v>
      </c>
    </row>
    <row r="30" spans="1:4">
      <c r="A30" s="344"/>
      <c r="B30" s="346"/>
      <c r="C30" s="44" t="s">
        <v>117</v>
      </c>
      <c r="D30" s="50" t="s">
        <v>76</v>
      </c>
    </row>
    <row r="31" spans="1:4" ht="15" customHeight="1">
      <c r="A31" s="338" t="s">
        <v>38</v>
      </c>
      <c r="B31" s="341" t="s">
        <v>77</v>
      </c>
      <c r="C31" s="44" t="s">
        <v>40</v>
      </c>
      <c r="D31" s="187" t="s">
        <v>78</v>
      </c>
    </row>
    <row r="32" spans="1:4">
      <c r="A32" s="339"/>
      <c r="B32" s="342"/>
      <c r="C32" s="44" t="s">
        <v>41</v>
      </c>
      <c r="D32" s="188" t="s">
        <v>102</v>
      </c>
    </row>
    <row r="33" spans="1:4">
      <c r="A33" s="339"/>
      <c r="B33" s="342"/>
      <c r="C33" s="44" t="s">
        <v>250</v>
      </c>
      <c r="D33" s="188" t="s">
        <v>103</v>
      </c>
    </row>
    <row r="34" spans="1:4">
      <c r="A34" s="339"/>
      <c r="B34" s="342"/>
      <c r="C34" s="44" t="s">
        <v>251</v>
      </c>
      <c r="D34" s="62" t="s">
        <v>125</v>
      </c>
    </row>
    <row r="35" spans="1:4">
      <c r="A35" s="339"/>
      <c r="B35" s="342"/>
      <c r="C35" s="44" t="s">
        <v>252</v>
      </c>
      <c r="D35" s="45" t="s">
        <v>79</v>
      </c>
    </row>
    <row r="36" spans="1:4">
      <c r="A36" s="339"/>
      <c r="B36" s="342"/>
      <c r="C36" s="44" t="s">
        <v>253</v>
      </c>
      <c r="D36" s="45" t="s">
        <v>80</v>
      </c>
    </row>
    <row r="37" spans="1:4">
      <c r="A37" s="340"/>
      <c r="B37" s="343"/>
      <c r="C37" s="44" t="s">
        <v>254</v>
      </c>
      <c r="D37" s="189" t="s">
        <v>224</v>
      </c>
    </row>
    <row r="38" spans="1:4" ht="14.45" customHeight="1">
      <c r="A38" s="344" t="s">
        <v>39</v>
      </c>
      <c r="B38" s="345" t="s">
        <v>81</v>
      </c>
      <c r="C38" s="43" t="s">
        <v>42</v>
      </c>
      <c r="D38" s="193" t="s">
        <v>115</v>
      </c>
    </row>
    <row r="39" spans="1:4">
      <c r="A39" s="344"/>
      <c r="B39" s="347"/>
      <c r="C39" s="43" t="s">
        <v>43</v>
      </c>
      <c r="D39" s="46" t="s">
        <v>82</v>
      </c>
    </row>
    <row r="40" spans="1:4">
      <c r="A40" s="344" t="s">
        <v>44</v>
      </c>
      <c r="B40" s="350" t="s">
        <v>331</v>
      </c>
      <c r="C40" s="43" t="s">
        <v>45</v>
      </c>
      <c r="D40" s="62" t="s">
        <v>126</v>
      </c>
    </row>
    <row r="41" spans="1:4">
      <c r="A41" s="344"/>
      <c r="B41" s="342"/>
      <c r="C41" s="43" t="s">
        <v>46</v>
      </c>
      <c r="D41" s="62" t="s">
        <v>127</v>
      </c>
    </row>
    <row r="42" spans="1:4">
      <c r="A42" s="344"/>
      <c r="B42" s="342"/>
      <c r="C42" s="43" t="s">
        <v>47</v>
      </c>
      <c r="D42" s="152" t="s">
        <v>215</v>
      </c>
    </row>
    <row r="43" spans="1:4">
      <c r="A43" s="344"/>
      <c r="B43" s="343"/>
      <c r="C43" s="43" t="s">
        <v>48</v>
      </c>
      <c r="D43" s="152" t="s">
        <v>83</v>
      </c>
    </row>
    <row r="44" spans="1:4">
      <c r="A44" s="344" t="s">
        <v>116</v>
      </c>
      <c r="B44" s="345" t="s">
        <v>84</v>
      </c>
      <c r="C44" s="43" t="s">
        <v>118</v>
      </c>
      <c r="D44" s="61" t="s">
        <v>129</v>
      </c>
    </row>
    <row r="45" spans="1:4">
      <c r="A45" s="344"/>
      <c r="B45" s="346"/>
      <c r="C45" s="43" t="s">
        <v>119</v>
      </c>
      <c r="D45" s="193" t="s">
        <v>114</v>
      </c>
    </row>
    <row r="46" spans="1:4">
      <c r="A46" s="344"/>
      <c r="B46" s="346"/>
      <c r="C46" s="43" t="s">
        <v>120</v>
      </c>
      <c r="D46" s="151" t="s">
        <v>218</v>
      </c>
    </row>
    <row r="47" spans="1:4">
      <c r="A47" s="344"/>
      <c r="B47" s="346"/>
      <c r="C47" s="43" t="s">
        <v>121</v>
      </c>
      <c r="D47" s="260" t="s">
        <v>350</v>
      </c>
    </row>
    <row r="48" spans="1:4">
      <c r="A48" s="344"/>
      <c r="B48" s="346"/>
      <c r="C48" s="43" t="s">
        <v>122</v>
      </c>
      <c r="D48" s="61" t="s">
        <v>128</v>
      </c>
    </row>
    <row r="49" spans="1:4">
      <c r="A49" s="344"/>
      <c r="B49" s="346"/>
      <c r="C49" s="43" t="s">
        <v>123</v>
      </c>
      <c r="D49" s="194" t="s">
        <v>85</v>
      </c>
    </row>
    <row r="50" spans="1:4">
      <c r="A50" s="344"/>
      <c r="B50" s="346"/>
      <c r="C50" s="43" t="s">
        <v>255</v>
      </c>
      <c r="D50" s="61" t="s">
        <v>130</v>
      </c>
    </row>
    <row r="51" spans="1:4">
      <c r="A51" s="344"/>
      <c r="B51" s="346"/>
      <c r="C51" s="43" t="s">
        <v>256</v>
      </c>
      <c r="D51" s="195" t="s">
        <v>242</v>
      </c>
    </row>
    <row r="52" spans="1:4">
      <c r="A52" s="344"/>
      <c r="B52" s="346"/>
      <c r="C52" s="43" t="s">
        <v>257</v>
      </c>
      <c r="D52" s="151" t="s">
        <v>216</v>
      </c>
    </row>
    <row r="53" spans="1:4">
      <c r="A53" s="344"/>
      <c r="B53" s="346"/>
      <c r="C53" s="43" t="s">
        <v>258</v>
      </c>
      <c r="D53" s="259" t="s">
        <v>86</v>
      </c>
    </row>
    <row r="54" spans="1:4">
      <c r="A54" s="344"/>
      <c r="B54" s="347"/>
      <c r="C54" s="43" t="s">
        <v>347</v>
      </c>
      <c r="D54" s="259" t="s">
        <v>348</v>
      </c>
    </row>
    <row r="55" spans="1:4" ht="15" customHeight="1">
      <c r="A55" s="344" t="s">
        <v>249</v>
      </c>
      <c r="B55" s="341" t="s">
        <v>87</v>
      </c>
      <c r="C55" s="44" t="s">
        <v>259</v>
      </c>
      <c r="D55" s="190" t="s">
        <v>88</v>
      </c>
    </row>
    <row r="56" spans="1:4">
      <c r="A56" s="344"/>
      <c r="B56" s="342"/>
      <c r="C56" s="44" t="s">
        <v>260</v>
      </c>
      <c r="D56" s="191" t="s">
        <v>89</v>
      </c>
    </row>
    <row r="57" spans="1:4">
      <c r="A57" s="344"/>
      <c r="B57" s="342"/>
      <c r="C57" s="44" t="s">
        <v>261</v>
      </c>
      <c r="D57" s="190" t="s">
        <v>90</v>
      </c>
    </row>
    <row r="58" spans="1:4">
      <c r="A58" s="344"/>
      <c r="B58" s="342"/>
      <c r="C58" s="44" t="s">
        <v>262</v>
      </c>
      <c r="D58" s="191" t="s">
        <v>332</v>
      </c>
    </row>
    <row r="59" spans="1:4">
      <c r="A59" s="344"/>
      <c r="B59" s="342"/>
      <c r="C59" s="44" t="s">
        <v>263</v>
      </c>
      <c r="D59" s="191" t="s">
        <v>333</v>
      </c>
    </row>
    <row r="60" spans="1:4">
      <c r="A60" s="344"/>
      <c r="B60" s="343"/>
      <c r="C60" s="43" t="s">
        <v>264</v>
      </c>
      <c r="D60" s="45" t="s">
        <v>91</v>
      </c>
    </row>
  </sheetData>
  <mergeCells count="25">
    <mergeCell ref="B15:B17"/>
    <mergeCell ref="A55:A60"/>
    <mergeCell ref="B55:B60"/>
    <mergeCell ref="A38:A39"/>
    <mergeCell ref="B38:B39"/>
    <mergeCell ref="A40:A43"/>
    <mergeCell ref="B40:B43"/>
    <mergeCell ref="A31:A37"/>
    <mergeCell ref="B31:B37"/>
    <mergeCell ref="A1:D1"/>
    <mergeCell ref="A2:A10"/>
    <mergeCell ref="B2:B10"/>
    <mergeCell ref="A44:A54"/>
    <mergeCell ref="B44:B54"/>
    <mergeCell ref="A11:A14"/>
    <mergeCell ref="B11:B14"/>
    <mergeCell ref="A19:A20"/>
    <mergeCell ref="B19:B20"/>
    <mergeCell ref="A28:A30"/>
    <mergeCell ref="B28:B30"/>
    <mergeCell ref="A21:A23"/>
    <mergeCell ref="B21:B23"/>
    <mergeCell ref="B25:B26"/>
    <mergeCell ref="A25:A26"/>
    <mergeCell ref="A15:A17"/>
  </mergeCells>
  <pageMargins left="0.23622047244094491" right="0.23622047244094491" top="0.35433070866141736" bottom="0.35433070866141736" header="0.31496062992125984" footer="0.31496062992125984"/>
  <pageSetup paperSize="9" scale="94" orientation="portrait" r:id="rId1"/>
  <headerFooter>
    <oddFooter>&amp;L&amp;8&amp;F&amp;C&amp;"Arial,Gras"&amp;9&amp;P/&amp;N</oddFooter>
  </headerFooter>
  <rowBreaks count="2" manualBreakCount="2">
    <brk id="20" max="16383" man="1"/>
    <brk id="27"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P32"/>
  <sheetViews>
    <sheetView showGridLines="0" zoomScale="60" zoomScaleNormal="60" workbookViewId="0">
      <selection activeCell="G4" sqref="G4:K4"/>
    </sheetView>
  </sheetViews>
  <sheetFormatPr defaultRowHeight="12.75"/>
  <cols>
    <col min="1" max="2" width="5.7109375" customWidth="1"/>
    <col min="3" max="8" width="20.7109375" customWidth="1"/>
    <col min="9" max="9" width="13" customWidth="1"/>
    <col min="10" max="10" width="5.7109375" customWidth="1"/>
    <col min="11" max="16" width="20.7109375" customWidth="1"/>
  </cols>
  <sheetData>
    <row r="2" spans="1:16" ht="26.25">
      <c r="D2" s="351" t="s">
        <v>50</v>
      </c>
      <c r="E2" s="351"/>
      <c r="F2" s="351"/>
      <c r="G2" s="351"/>
      <c r="H2" s="351"/>
      <c r="I2" s="351"/>
      <c r="J2" s="351"/>
      <c r="K2" s="351"/>
      <c r="L2" s="351"/>
      <c r="M2" s="351"/>
      <c r="N2" s="351"/>
      <c r="O2" s="351"/>
      <c r="P2" s="351"/>
    </row>
    <row r="4" spans="1:16" s="5" customFormat="1" ht="20.25" customHeight="1">
      <c r="A4" s="352" t="str">
        <f>'Cover Page'!A4</f>
        <v xml:space="preserve">Station / Business Unit: </v>
      </c>
      <c r="B4" s="353"/>
      <c r="C4" s="353"/>
      <c r="D4" s="353"/>
      <c r="E4" s="354"/>
      <c r="F4" s="83"/>
      <c r="G4" s="355" t="str">
        <f>'Cover Page'!G4</f>
        <v xml:space="preserve">Type of Operation: </v>
      </c>
      <c r="H4" s="356"/>
      <c r="I4" s="356"/>
      <c r="J4" s="356"/>
      <c r="K4" s="357"/>
      <c r="L4" s="89"/>
      <c r="M4" s="90"/>
      <c r="N4" s="90"/>
      <c r="O4" s="90"/>
      <c r="P4" s="90"/>
    </row>
    <row r="5" spans="1:16" s="5" customFormat="1" ht="10.5" customHeight="1">
      <c r="A5" s="84"/>
      <c r="B5" s="84"/>
      <c r="C5" s="84"/>
      <c r="D5" s="84"/>
      <c r="E5" s="84"/>
      <c r="F5" s="84"/>
      <c r="G5" s="84"/>
      <c r="H5" s="84"/>
      <c r="I5" s="84"/>
      <c r="J5" s="84"/>
    </row>
    <row r="7" spans="1:16" s="8" customFormat="1" ht="36" customHeight="1">
      <c r="B7" s="213" t="s">
        <v>286</v>
      </c>
      <c r="J7" s="213" t="s">
        <v>287</v>
      </c>
    </row>
    <row r="8" spans="1:16" ht="31.15" customHeight="1">
      <c r="D8" s="320" t="s">
        <v>55</v>
      </c>
      <c r="E8" s="320"/>
      <c r="F8" s="320"/>
      <c r="G8" s="320"/>
      <c r="H8" s="320"/>
      <c r="L8" s="320" t="s">
        <v>55</v>
      </c>
      <c r="M8" s="320"/>
      <c r="N8" s="320"/>
      <c r="O8" s="320"/>
      <c r="P8" s="320"/>
    </row>
    <row r="9" spans="1:16" ht="100.15" customHeight="1">
      <c r="D9" s="86" t="s">
        <v>162</v>
      </c>
      <c r="E9" s="86" t="s">
        <v>163</v>
      </c>
      <c r="F9" s="86" t="s">
        <v>164</v>
      </c>
      <c r="G9" s="86" t="s">
        <v>165</v>
      </c>
      <c r="H9" s="86" t="s">
        <v>166</v>
      </c>
      <c r="L9" s="86" t="s">
        <v>162</v>
      </c>
      <c r="M9" s="86" t="s">
        <v>163</v>
      </c>
      <c r="N9" s="86" t="s">
        <v>164</v>
      </c>
      <c r="O9" s="86" t="s">
        <v>165</v>
      </c>
      <c r="P9" s="86" t="s">
        <v>166</v>
      </c>
    </row>
    <row r="10" spans="1:16" ht="120" customHeight="1" thickBot="1">
      <c r="B10" s="316" t="s">
        <v>56</v>
      </c>
      <c r="C10" s="85" t="s">
        <v>272</v>
      </c>
      <c r="D10" s="214" t="str">
        <f>'Risk Assessment'!BB70</f>
        <v/>
      </c>
      <c r="E10" s="215" t="str">
        <f>'Risk Assessment'!AW70</f>
        <v/>
      </c>
      <c r="F10" s="216" t="str">
        <f>'Risk Assessment'!AR70</f>
        <v/>
      </c>
      <c r="G10" s="217" t="str">
        <f>'Risk Assessment'!AM70</f>
        <v/>
      </c>
      <c r="H10" s="217" t="str">
        <f>'Risk Assessment'!AH70</f>
        <v/>
      </c>
      <c r="J10" s="316" t="s">
        <v>56</v>
      </c>
      <c r="K10" s="85" t="s">
        <v>272</v>
      </c>
      <c r="L10" s="214" t="str">
        <f>'Risk Assessment'!CD$70</f>
        <v/>
      </c>
      <c r="M10" s="215" t="str">
        <f>'Risk Assessment'!BY$70</f>
        <v/>
      </c>
      <c r="N10" s="216" t="str">
        <f>'Risk Assessment'!BT$70</f>
        <v/>
      </c>
      <c r="O10" s="217" t="str">
        <f>'Risk Assessment'!BO$70</f>
        <v/>
      </c>
      <c r="P10" s="217" t="str">
        <f>'Risk Assessment'!BJ$70</f>
        <v/>
      </c>
    </row>
    <row r="11" spans="1:16" ht="120" customHeight="1" thickTop="1">
      <c r="B11" s="316"/>
      <c r="C11" s="85" t="s">
        <v>282</v>
      </c>
      <c r="D11" s="218" t="str">
        <f>'Risk Assessment'!BC70</f>
        <v/>
      </c>
      <c r="E11" s="219" t="str">
        <f>'Risk Assessment'!AX70</f>
        <v/>
      </c>
      <c r="F11" s="220" t="str">
        <f>'Risk Assessment'!AS70</f>
        <v/>
      </c>
      <c r="G11" s="216" t="str">
        <f>'Risk Assessment'!AN70</f>
        <v/>
      </c>
      <c r="H11" s="217" t="str">
        <f>'Risk Assessment'!AI70</f>
        <v/>
      </c>
      <c r="J11" s="316"/>
      <c r="K11" s="85" t="s">
        <v>282</v>
      </c>
      <c r="L11" s="218" t="str">
        <f>'Risk Assessment'!CE$70</f>
        <v/>
      </c>
      <c r="M11" s="219" t="str">
        <f>'Risk Assessment'!BZ$70</f>
        <v/>
      </c>
      <c r="N11" s="220" t="str">
        <f>'Risk Assessment'!BU$70</f>
        <v/>
      </c>
      <c r="O11" s="216" t="str">
        <f>'Risk Assessment'!BP$70</f>
        <v/>
      </c>
      <c r="P11" s="217" t="str">
        <f>'Risk Assessment'!BK$70</f>
        <v/>
      </c>
    </row>
    <row r="12" spans="1:16" ht="120" customHeight="1" thickBot="1">
      <c r="B12" s="316"/>
      <c r="C12" s="85" t="s">
        <v>283</v>
      </c>
      <c r="D12" s="218" t="str">
        <f>'Risk Assessment'!BD70</f>
        <v/>
      </c>
      <c r="E12" s="214" t="str">
        <f>'Risk Assessment'!AY70</f>
        <v/>
      </c>
      <c r="F12" s="215" t="str">
        <f>'Risk Assessment'!AT70</f>
        <v/>
      </c>
      <c r="G12" s="221" t="str">
        <f>'Risk Assessment'!AO70</f>
        <v/>
      </c>
      <c r="H12" s="216" t="str">
        <f>'Risk Assessment'!AJ70</f>
        <v/>
      </c>
      <c r="J12" s="316"/>
      <c r="K12" s="85" t="s">
        <v>283</v>
      </c>
      <c r="L12" s="218" t="str">
        <f>'Risk Assessment'!CF$70</f>
        <v/>
      </c>
      <c r="M12" s="214" t="str">
        <f>'Risk Assessment'!CA$70</f>
        <v/>
      </c>
      <c r="N12" s="215" t="str">
        <f>'Risk Assessment'!BV$70</f>
        <v/>
      </c>
      <c r="O12" s="221" t="str">
        <f>'Risk Assessment'!BQ$70</f>
        <v/>
      </c>
      <c r="P12" s="216" t="str">
        <f>'Risk Assessment'!BL$70</f>
        <v/>
      </c>
    </row>
    <row r="13" spans="1:16" ht="120" customHeight="1" thickTop="1" thickBot="1">
      <c r="B13" s="316"/>
      <c r="C13" s="85" t="s">
        <v>270</v>
      </c>
      <c r="D13" s="218" t="str">
        <f>'Risk Assessment'!BE70</f>
        <v/>
      </c>
      <c r="E13" s="218" t="str">
        <f>'Risk Assessment'!AZ70</f>
        <v/>
      </c>
      <c r="F13" s="219" t="str">
        <f>'Risk Assessment'!AU70</f>
        <v/>
      </c>
      <c r="G13" s="215" t="str">
        <f>'Risk Assessment'!AP70</f>
        <v/>
      </c>
      <c r="H13" s="222" t="str">
        <f>'Risk Assessment'!AK70</f>
        <v/>
      </c>
      <c r="J13" s="316"/>
      <c r="K13" s="85" t="s">
        <v>270</v>
      </c>
      <c r="L13" s="218" t="str">
        <f>'Risk Assessment'!CG$70</f>
        <v/>
      </c>
      <c r="M13" s="218" t="str">
        <f>'Risk Assessment'!CB$70</f>
        <v/>
      </c>
      <c r="N13" s="219" t="str">
        <f>'Risk Assessment'!BW$70</f>
        <v/>
      </c>
      <c r="O13" s="215" t="str">
        <f>'Risk Assessment'!BR$70</f>
        <v/>
      </c>
      <c r="P13" s="224" t="str">
        <f>'Risk Assessment'!BM$70</f>
        <v/>
      </c>
    </row>
    <row r="14" spans="1:16" ht="120" customHeight="1" thickTop="1">
      <c r="B14" s="316"/>
      <c r="C14" s="85" t="s">
        <v>269</v>
      </c>
      <c r="D14" s="218" t="str">
        <f>'Risk Assessment'!BF70</f>
        <v/>
      </c>
      <c r="E14" s="218" t="str">
        <f>'Risk Assessment'!BA70</f>
        <v/>
      </c>
      <c r="F14" s="218" t="str">
        <f>'Risk Assessment'!AV70</f>
        <v/>
      </c>
      <c r="G14" s="223" t="str">
        <f>'Risk Assessment'!AQ70</f>
        <v/>
      </c>
      <c r="H14" s="223" t="str">
        <f>'Risk Assessment'!AL70</f>
        <v/>
      </c>
      <c r="J14" s="316"/>
      <c r="K14" s="85" t="s">
        <v>269</v>
      </c>
      <c r="L14" s="218" t="str">
        <f>'Risk Assessment'!CH$70</f>
        <v/>
      </c>
      <c r="M14" s="218" t="str">
        <f>'Risk Assessment'!CC$70</f>
        <v/>
      </c>
      <c r="N14" s="218" t="str">
        <f>'Risk Assessment'!BX$70</f>
        <v/>
      </c>
      <c r="O14" s="223" t="str">
        <f>'Risk Assessment'!BS$70</f>
        <v/>
      </c>
      <c r="P14" s="223" t="str">
        <f>'Risk Assessment'!BN$70</f>
        <v/>
      </c>
    </row>
    <row r="19" spans="3:8" s="59" customFormat="1" ht="18">
      <c r="C19" s="103" t="s">
        <v>55</v>
      </c>
    </row>
    <row r="20" spans="3:8" ht="31.5">
      <c r="D20" s="99" t="s">
        <v>162</v>
      </c>
      <c r="E20" s="99" t="s">
        <v>163</v>
      </c>
      <c r="F20" s="99" t="s">
        <v>164</v>
      </c>
      <c r="G20" s="99" t="s">
        <v>165</v>
      </c>
      <c r="H20" s="99" t="s">
        <v>166</v>
      </c>
    </row>
    <row r="21" spans="3:8" s="98" customFormat="1" ht="135">
      <c r="C21" s="100" t="s">
        <v>187</v>
      </c>
      <c r="D21" s="101" t="s">
        <v>186</v>
      </c>
      <c r="E21" s="101" t="s">
        <v>185</v>
      </c>
      <c r="F21" s="101" t="s">
        <v>184</v>
      </c>
      <c r="G21" s="101" t="s">
        <v>183</v>
      </c>
      <c r="H21" s="102" t="s">
        <v>182</v>
      </c>
    </row>
    <row r="22" spans="3:8" s="98" customFormat="1" ht="270">
      <c r="C22" s="100" t="s">
        <v>193</v>
      </c>
      <c r="D22" s="101" t="s">
        <v>192</v>
      </c>
      <c r="E22" s="101" t="s">
        <v>191</v>
      </c>
      <c r="F22" s="101" t="s">
        <v>190</v>
      </c>
      <c r="G22" s="101" t="s">
        <v>189</v>
      </c>
      <c r="H22" s="101" t="s">
        <v>188</v>
      </c>
    </row>
    <row r="23" spans="3:8" s="98" customFormat="1"/>
    <row r="24" spans="3:8" s="98" customFormat="1"/>
    <row r="25" spans="3:8" s="98" customFormat="1"/>
    <row r="26" spans="3:8" s="98" customFormat="1"/>
    <row r="27" spans="3:8" s="98" customFormat="1"/>
    <row r="28" spans="3:8" s="98" customFormat="1"/>
    <row r="29" spans="3:8" s="98" customFormat="1"/>
    <row r="30" spans="3:8" s="98" customFormat="1"/>
    <row r="31" spans="3:8" s="98" customFormat="1"/>
    <row r="32" spans="3:8" s="98" customFormat="1"/>
  </sheetData>
  <mergeCells count="7">
    <mergeCell ref="D2:P2"/>
    <mergeCell ref="A4:E4"/>
    <mergeCell ref="B10:B14"/>
    <mergeCell ref="D8:H8"/>
    <mergeCell ref="L8:P8"/>
    <mergeCell ref="J10:J14"/>
    <mergeCell ref="G4:K4"/>
  </mergeCells>
  <pageMargins left="0.23622047244094491" right="0.23622047244094491" top="0.74803149606299213" bottom="0.74803149606299213" header="0.31496062992125984" footer="0.31496062992125984"/>
  <pageSetup paperSize="9" scale="50" orientation="landscape" r:id="rId1"/>
  <rowBreaks count="1" manualBreakCount="1">
    <brk id="17" max="16383" man="1"/>
  </row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2:R50"/>
  <sheetViews>
    <sheetView showGridLines="0" zoomScale="80" zoomScaleNormal="80" workbookViewId="0">
      <selection activeCell="A4" sqref="A4:D4"/>
    </sheetView>
  </sheetViews>
  <sheetFormatPr defaultRowHeight="12.75"/>
  <cols>
    <col min="1" max="1" width="5.7109375" customWidth="1"/>
    <col min="2" max="2" width="20.7109375" customWidth="1"/>
    <col min="3" max="6" width="15.7109375" customWidth="1"/>
    <col min="7" max="7" width="20.7109375" customWidth="1"/>
    <col min="8" max="8" width="36.42578125" customWidth="1"/>
    <col min="9" max="9" width="30.7109375" customWidth="1"/>
    <col min="10" max="12" width="15.7109375" customWidth="1"/>
    <col min="13" max="13" width="21.5703125" customWidth="1"/>
    <col min="14" max="14" width="15.7109375" customWidth="1"/>
    <col min="15" max="15" width="25.7109375" customWidth="1"/>
    <col min="16" max="18" width="20.7109375" customWidth="1"/>
  </cols>
  <sheetData>
    <row r="2" spans="1:18" ht="26.25">
      <c r="C2" s="351" t="s">
        <v>234</v>
      </c>
      <c r="D2" s="351"/>
      <c r="E2" s="351"/>
      <c r="F2" s="351"/>
      <c r="G2" s="351"/>
      <c r="H2" s="351"/>
      <c r="I2" s="351"/>
      <c r="J2" s="351"/>
      <c r="K2" s="351"/>
      <c r="L2" s="351"/>
      <c r="M2" s="351"/>
      <c r="N2" s="351"/>
      <c r="O2" s="351"/>
    </row>
    <row r="4" spans="1:18" s="5" customFormat="1" ht="20.25" customHeight="1">
      <c r="A4" s="352" t="str">
        <f>'Cover Page'!A4</f>
        <v xml:space="preserve">Station / Business Unit: </v>
      </c>
      <c r="B4" s="353"/>
      <c r="C4" s="353"/>
      <c r="D4" s="354"/>
      <c r="E4" s="83"/>
      <c r="F4" s="352" t="str">
        <f>'Cover Page'!G4</f>
        <v xml:space="preserve">Type of Operation: </v>
      </c>
      <c r="G4" s="353"/>
      <c r="H4" s="354"/>
      <c r="I4" s="90"/>
      <c r="J4" s="90"/>
      <c r="K4" s="90"/>
      <c r="L4" s="90"/>
      <c r="M4" s="90"/>
      <c r="N4" s="90"/>
    </row>
    <row r="5" spans="1:18" s="5" customFormat="1" ht="10.5" customHeight="1">
      <c r="A5" s="84"/>
      <c r="B5" s="84"/>
      <c r="C5" s="84"/>
      <c r="D5" s="84"/>
      <c r="E5" s="84"/>
      <c r="F5" s="84"/>
      <c r="G5" s="84"/>
      <c r="H5" s="84"/>
      <c r="P5" s="84"/>
      <c r="Q5" s="84"/>
      <c r="R5" s="84"/>
    </row>
    <row r="7" spans="1:18" s="8" customFormat="1" ht="25.15" customHeight="1">
      <c r="A7" s="363" t="s">
        <v>237</v>
      </c>
      <c r="B7" s="364"/>
      <c r="C7" s="364"/>
      <c r="D7" s="364"/>
      <c r="E7" s="364"/>
      <c r="F7" s="364"/>
      <c r="G7" s="364"/>
      <c r="H7" s="365"/>
      <c r="I7" s="363" t="s">
        <v>241</v>
      </c>
      <c r="J7" s="364"/>
      <c r="K7" s="364"/>
      <c r="L7" s="364"/>
      <c r="M7" s="364"/>
      <c r="N7" s="364"/>
      <c r="O7" s="365"/>
      <c r="P7" s="363" t="s">
        <v>238</v>
      </c>
      <c r="Q7" s="364"/>
      <c r="R7" s="365"/>
    </row>
    <row r="8" spans="1:18" s="92" customFormat="1" ht="15.6" customHeight="1">
      <c r="A8" s="176" t="s">
        <v>169</v>
      </c>
      <c r="B8" s="177" t="s">
        <v>176</v>
      </c>
      <c r="C8" s="359" t="s">
        <v>178</v>
      </c>
      <c r="D8" s="359"/>
      <c r="E8" s="359"/>
      <c r="F8" s="359"/>
      <c r="G8" s="177" t="s">
        <v>175</v>
      </c>
      <c r="H8" s="178" t="s">
        <v>179</v>
      </c>
      <c r="I8" s="176" t="s">
        <v>180</v>
      </c>
      <c r="J8" s="359" t="s">
        <v>181</v>
      </c>
      <c r="K8" s="359"/>
      <c r="L8" s="359"/>
      <c r="M8" s="359" t="s">
        <v>177</v>
      </c>
      <c r="N8" s="359" t="s">
        <v>171</v>
      </c>
      <c r="O8" s="359" t="s">
        <v>170</v>
      </c>
      <c r="P8" s="177" t="s">
        <v>232</v>
      </c>
      <c r="Q8" s="177" t="s">
        <v>233</v>
      </c>
      <c r="R8" s="177" t="s">
        <v>239</v>
      </c>
    </row>
    <row r="9" spans="1:18" s="92" customFormat="1" ht="31.15" customHeight="1">
      <c r="A9" s="95"/>
      <c r="B9" s="96" t="s">
        <v>173</v>
      </c>
      <c r="C9" s="360" t="s">
        <v>240</v>
      </c>
      <c r="D9" s="361"/>
      <c r="E9" s="361"/>
      <c r="F9" s="362"/>
      <c r="G9" s="96" t="s">
        <v>173</v>
      </c>
      <c r="H9" s="159" t="s">
        <v>172</v>
      </c>
      <c r="I9" s="97" t="s">
        <v>174</v>
      </c>
      <c r="J9" s="360"/>
      <c r="K9" s="361"/>
      <c r="L9" s="362"/>
      <c r="M9" s="366"/>
      <c r="N9" s="366"/>
      <c r="O9" s="366"/>
      <c r="P9" s="163"/>
      <c r="Q9" s="163"/>
      <c r="R9" s="96"/>
    </row>
    <row r="10" spans="1:18" s="91" customFormat="1" ht="15">
      <c r="A10" s="93"/>
      <c r="B10" s="93"/>
      <c r="C10" s="358"/>
      <c r="D10" s="358"/>
      <c r="E10" s="358"/>
      <c r="F10" s="358"/>
      <c r="G10" s="93"/>
      <c r="H10" s="94"/>
      <c r="I10" s="93"/>
      <c r="J10" s="358"/>
      <c r="K10" s="358"/>
      <c r="L10" s="358"/>
      <c r="M10" s="94"/>
      <c r="N10" s="94"/>
      <c r="O10" s="93"/>
      <c r="P10" s="93"/>
      <c r="Q10" s="93"/>
      <c r="R10" s="179"/>
    </row>
    <row r="11" spans="1:18" s="91" customFormat="1" ht="15">
      <c r="A11" s="93"/>
      <c r="B11" s="93"/>
      <c r="C11" s="358"/>
      <c r="D11" s="358"/>
      <c r="E11" s="358"/>
      <c r="F11" s="358"/>
      <c r="G11" s="93"/>
      <c r="H11" s="94"/>
      <c r="I11" s="93"/>
      <c r="J11" s="358"/>
      <c r="K11" s="358"/>
      <c r="L11" s="358"/>
      <c r="M11" s="94"/>
      <c r="N11" s="94"/>
      <c r="O11" s="93"/>
      <c r="P11" s="93"/>
      <c r="Q11" s="93"/>
      <c r="R11" s="179"/>
    </row>
    <row r="12" spans="1:18" s="91" customFormat="1" ht="15">
      <c r="A12" s="93"/>
      <c r="B12" s="93"/>
      <c r="C12" s="358"/>
      <c r="D12" s="358"/>
      <c r="E12" s="358"/>
      <c r="F12" s="358"/>
      <c r="G12" s="93"/>
      <c r="H12" s="94"/>
      <c r="I12" s="93"/>
      <c r="J12" s="358"/>
      <c r="K12" s="358"/>
      <c r="L12" s="358"/>
      <c r="M12" s="94"/>
      <c r="N12" s="94"/>
      <c r="O12" s="93"/>
      <c r="P12" s="93"/>
      <c r="Q12" s="93"/>
      <c r="R12" s="179"/>
    </row>
    <row r="13" spans="1:18" s="91" customFormat="1" ht="15">
      <c r="A13" s="93"/>
      <c r="B13" s="93"/>
      <c r="C13" s="358"/>
      <c r="D13" s="358"/>
      <c r="E13" s="358"/>
      <c r="F13" s="358"/>
      <c r="G13" s="93"/>
      <c r="H13" s="94"/>
      <c r="I13" s="93"/>
      <c r="J13" s="358"/>
      <c r="K13" s="358"/>
      <c r="L13" s="358"/>
      <c r="M13" s="94"/>
      <c r="N13" s="94"/>
      <c r="O13" s="93"/>
      <c r="P13" s="93"/>
      <c r="Q13" s="93"/>
      <c r="R13" s="179"/>
    </row>
    <row r="14" spans="1:18" s="91" customFormat="1" ht="15">
      <c r="A14" s="93"/>
      <c r="B14" s="93"/>
      <c r="C14" s="358"/>
      <c r="D14" s="358"/>
      <c r="E14" s="358"/>
      <c r="F14" s="358"/>
      <c r="G14" s="93"/>
      <c r="H14" s="94"/>
      <c r="I14" s="93"/>
      <c r="J14" s="358"/>
      <c r="K14" s="358"/>
      <c r="L14" s="358"/>
      <c r="M14" s="94"/>
      <c r="N14" s="94"/>
      <c r="O14" s="93"/>
      <c r="P14" s="93"/>
      <c r="Q14" s="93"/>
      <c r="R14" s="179"/>
    </row>
    <row r="15" spans="1:18" s="91" customFormat="1" ht="15">
      <c r="A15" s="93"/>
      <c r="B15" s="93"/>
      <c r="C15" s="358"/>
      <c r="D15" s="358"/>
      <c r="E15" s="358"/>
      <c r="F15" s="358"/>
      <c r="G15" s="93"/>
      <c r="H15" s="94"/>
      <c r="I15" s="93"/>
      <c r="J15" s="358"/>
      <c r="K15" s="358"/>
      <c r="L15" s="358"/>
      <c r="M15" s="94"/>
      <c r="N15" s="94"/>
      <c r="O15" s="93"/>
      <c r="P15" s="93"/>
      <c r="Q15" s="93"/>
      <c r="R15" s="179"/>
    </row>
    <row r="16" spans="1:18" s="91" customFormat="1" ht="15">
      <c r="A16" s="93"/>
      <c r="B16" s="93"/>
      <c r="C16" s="358"/>
      <c r="D16" s="358"/>
      <c r="E16" s="358"/>
      <c r="F16" s="358"/>
      <c r="G16" s="93"/>
      <c r="H16" s="94"/>
      <c r="I16" s="93"/>
      <c r="J16" s="358"/>
      <c r="K16" s="358"/>
      <c r="L16" s="358"/>
      <c r="M16" s="94"/>
      <c r="N16" s="94"/>
      <c r="O16" s="93"/>
      <c r="P16" s="93"/>
      <c r="Q16" s="93"/>
      <c r="R16" s="179"/>
    </row>
    <row r="17" spans="1:18" s="91" customFormat="1" ht="15">
      <c r="A17" s="93"/>
      <c r="B17" s="93"/>
      <c r="C17" s="358"/>
      <c r="D17" s="358"/>
      <c r="E17" s="358"/>
      <c r="F17" s="358"/>
      <c r="G17" s="93"/>
      <c r="H17" s="94"/>
      <c r="I17" s="93"/>
      <c r="J17" s="358"/>
      <c r="K17" s="358"/>
      <c r="L17" s="358"/>
      <c r="M17" s="94"/>
      <c r="N17" s="94"/>
      <c r="O17" s="93"/>
      <c r="P17" s="93"/>
      <c r="Q17" s="93"/>
      <c r="R17" s="179"/>
    </row>
    <row r="18" spans="1:18" s="91" customFormat="1" ht="15">
      <c r="A18" s="93"/>
      <c r="B18" s="93"/>
      <c r="C18" s="358"/>
      <c r="D18" s="358"/>
      <c r="E18" s="358"/>
      <c r="F18" s="358"/>
      <c r="G18" s="93"/>
      <c r="H18" s="94"/>
      <c r="I18" s="93"/>
      <c r="J18" s="358"/>
      <c r="K18" s="358"/>
      <c r="L18" s="358"/>
      <c r="M18" s="94"/>
      <c r="N18" s="94"/>
      <c r="O18" s="93"/>
      <c r="P18" s="93"/>
      <c r="Q18" s="93"/>
      <c r="R18" s="179"/>
    </row>
    <row r="19" spans="1:18" s="91" customFormat="1" ht="15">
      <c r="A19" s="93"/>
      <c r="B19" s="93"/>
      <c r="C19" s="358"/>
      <c r="D19" s="358"/>
      <c r="E19" s="358"/>
      <c r="F19" s="358"/>
      <c r="G19" s="93"/>
      <c r="H19" s="94"/>
      <c r="I19" s="93"/>
      <c r="J19" s="358"/>
      <c r="K19" s="358"/>
      <c r="L19" s="358"/>
      <c r="M19" s="94"/>
      <c r="N19" s="94"/>
      <c r="O19" s="93"/>
      <c r="P19" s="93"/>
      <c r="Q19" s="93"/>
      <c r="R19" s="179"/>
    </row>
    <row r="20" spans="1:18" s="91" customFormat="1" ht="15">
      <c r="A20" s="93"/>
      <c r="B20" s="93"/>
      <c r="C20" s="358"/>
      <c r="D20" s="358"/>
      <c r="E20" s="358"/>
      <c r="F20" s="358"/>
      <c r="G20" s="93"/>
      <c r="H20" s="94"/>
      <c r="I20" s="93"/>
      <c r="J20" s="358"/>
      <c r="K20" s="358"/>
      <c r="L20" s="358"/>
      <c r="M20" s="94"/>
      <c r="N20" s="94"/>
      <c r="O20" s="93"/>
      <c r="P20" s="93"/>
      <c r="Q20" s="93"/>
      <c r="R20" s="179"/>
    </row>
    <row r="21" spans="1:18" s="91" customFormat="1" ht="15">
      <c r="A21" s="93"/>
      <c r="B21" s="93"/>
      <c r="C21" s="358"/>
      <c r="D21" s="358"/>
      <c r="E21" s="358"/>
      <c r="F21" s="358"/>
      <c r="G21" s="93"/>
      <c r="H21" s="94"/>
      <c r="I21" s="93"/>
      <c r="J21" s="358"/>
      <c r="K21" s="358"/>
      <c r="L21" s="358"/>
      <c r="M21" s="94"/>
      <c r="N21" s="94"/>
      <c r="O21" s="93"/>
      <c r="P21" s="93"/>
      <c r="Q21" s="93"/>
      <c r="R21" s="179"/>
    </row>
    <row r="22" spans="1:18" s="91" customFormat="1" ht="15">
      <c r="A22" s="93"/>
      <c r="B22" s="93"/>
      <c r="C22" s="358"/>
      <c r="D22" s="358"/>
      <c r="E22" s="358"/>
      <c r="F22" s="358"/>
      <c r="G22" s="93"/>
      <c r="H22" s="94"/>
      <c r="I22" s="93"/>
      <c r="J22" s="358"/>
      <c r="K22" s="358"/>
      <c r="L22" s="358"/>
      <c r="M22" s="94"/>
      <c r="N22" s="94"/>
      <c r="O22" s="93"/>
      <c r="P22" s="93"/>
      <c r="Q22" s="93"/>
      <c r="R22" s="179"/>
    </row>
    <row r="23" spans="1:18" s="91" customFormat="1" ht="15">
      <c r="A23" s="93"/>
      <c r="B23" s="93"/>
      <c r="C23" s="358"/>
      <c r="D23" s="358"/>
      <c r="E23" s="358"/>
      <c r="F23" s="358"/>
      <c r="G23" s="93"/>
      <c r="H23" s="94"/>
      <c r="I23" s="93"/>
      <c r="J23" s="358"/>
      <c r="K23" s="358"/>
      <c r="L23" s="358"/>
      <c r="M23" s="94"/>
      <c r="N23" s="94"/>
      <c r="O23" s="93"/>
      <c r="P23" s="93"/>
      <c r="Q23" s="93"/>
      <c r="R23" s="179"/>
    </row>
    <row r="24" spans="1:18" s="91" customFormat="1" ht="15">
      <c r="A24" s="93"/>
      <c r="B24" s="93"/>
      <c r="C24" s="358"/>
      <c r="D24" s="358"/>
      <c r="E24" s="358"/>
      <c r="F24" s="358"/>
      <c r="G24" s="93"/>
      <c r="H24" s="94"/>
      <c r="I24" s="93"/>
      <c r="J24" s="358"/>
      <c r="K24" s="358"/>
      <c r="L24" s="358"/>
      <c r="M24" s="94"/>
      <c r="N24" s="94"/>
      <c r="O24" s="93"/>
      <c r="P24" s="93"/>
      <c r="Q24" s="93"/>
      <c r="R24" s="179"/>
    </row>
    <row r="25" spans="1:18" s="91" customFormat="1" ht="15">
      <c r="A25" s="93"/>
      <c r="B25" s="93"/>
      <c r="C25" s="358"/>
      <c r="D25" s="358"/>
      <c r="E25" s="358"/>
      <c r="F25" s="358"/>
      <c r="G25" s="93"/>
      <c r="H25" s="94"/>
      <c r="I25" s="93"/>
      <c r="J25" s="358"/>
      <c r="K25" s="358"/>
      <c r="L25" s="358"/>
      <c r="M25" s="94"/>
      <c r="N25" s="94"/>
      <c r="O25" s="93"/>
      <c r="P25" s="93"/>
      <c r="Q25" s="93"/>
      <c r="R25" s="179"/>
    </row>
    <row r="26" spans="1:18" s="91" customFormat="1" ht="15">
      <c r="A26" s="93"/>
      <c r="B26" s="93"/>
      <c r="C26" s="358"/>
      <c r="D26" s="358"/>
      <c r="E26" s="358"/>
      <c r="F26" s="358"/>
      <c r="G26" s="93"/>
      <c r="H26" s="94"/>
      <c r="I26" s="93"/>
      <c r="J26" s="358"/>
      <c r="K26" s="358"/>
      <c r="L26" s="358"/>
      <c r="M26" s="94"/>
      <c r="N26" s="94"/>
      <c r="O26" s="93"/>
      <c r="P26" s="93"/>
      <c r="Q26" s="93"/>
      <c r="R26" s="179"/>
    </row>
    <row r="27" spans="1:18" s="91" customFormat="1" ht="15">
      <c r="A27" s="93"/>
      <c r="B27" s="93"/>
      <c r="C27" s="358"/>
      <c r="D27" s="358"/>
      <c r="E27" s="358"/>
      <c r="F27" s="358"/>
      <c r="G27" s="93"/>
      <c r="H27" s="94"/>
      <c r="I27" s="93"/>
      <c r="J27" s="358"/>
      <c r="K27" s="358"/>
      <c r="L27" s="358"/>
      <c r="M27" s="94"/>
      <c r="N27" s="94"/>
      <c r="O27" s="93"/>
      <c r="P27" s="93"/>
      <c r="Q27" s="93"/>
      <c r="R27" s="179"/>
    </row>
    <row r="28" spans="1:18" s="91" customFormat="1" ht="15">
      <c r="A28" s="93"/>
      <c r="B28" s="93"/>
      <c r="C28" s="358"/>
      <c r="D28" s="358"/>
      <c r="E28" s="358"/>
      <c r="F28" s="358"/>
      <c r="G28" s="93"/>
      <c r="H28" s="94"/>
      <c r="I28" s="93"/>
      <c r="J28" s="358"/>
      <c r="K28" s="358"/>
      <c r="L28" s="358"/>
      <c r="M28" s="94"/>
      <c r="N28" s="94"/>
      <c r="O28" s="93"/>
      <c r="P28" s="93"/>
      <c r="Q28" s="93"/>
      <c r="R28" s="179"/>
    </row>
    <row r="29" spans="1:18" s="91" customFormat="1" ht="15">
      <c r="A29" s="93"/>
      <c r="B29" s="93"/>
      <c r="C29" s="358"/>
      <c r="D29" s="358"/>
      <c r="E29" s="358"/>
      <c r="F29" s="358"/>
      <c r="G29" s="93"/>
      <c r="H29" s="94"/>
      <c r="I29" s="93"/>
      <c r="J29" s="358"/>
      <c r="K29" s="358"/>
      <c r="L29" s="358"/>
      <c r="M29" s="94"/>
      <c r="N29" s="94"/>
      <c r="O29" s="93"/>
      <c r="P29" s="93"/>
      <c r="Q29" s="93"/>
      <c r="R29" s="179"/>
    </row>
    <row r="30" spans="1:18" s="91" customFormat="1" ht="15">
      <c r="A30" s="93"/>
      <c r="B30" s="93"/>
      <c r="C30" s="358"/>
      <c r="D30" s="358"/>
      <c r="E30" s="358"/>
      <c r="F30" s="358"/>
      <c r="G30" s="93"/>
      <c r="H30" s="94"/>
      <c r="I30" s="93"/>
      <c r="J30" s="358"/>
      <c r="K30" s="358"/>
      <c r="L30" s="358"/>
      <c r="M30" s="94"/>
      <c r="N30" s="94"/>
      <c r="O30" s="93"/>
      <c r="P30" s="93"/>
      <c r="Q30" s="93"/>
      <c r="R30" s="179"/>
    </row>
    <row r="31" spans="1:18" s="91" customFormat="1" ht="15">
      <c r="A31" s="93"/>
      <c r="B31" s="93"/>
      <c r="C31" s="358"/>
      <c r="D31" s="358"/>
      <c r="E31" s="358"/>
      <c r="F31" s="358"/>
      <c r="G31" s="93"/>
      <c r="H31" s="94"/>
      <c r="I31" s="93"/>
      <c r="J31" s="358"/>
      <c r="K31" s="358"/>
      <c r="L31" s="358"/>
      <c r="M31" s="94"/>
      <c r="N31" s="94"/>
      <c r="O31" s="93"/>
      <c r="P31" s="93"/>
      <c r="Q31" s="93"/>
      <c r="R31" s="179"/>
    </row>
    <row r="32" spans="1:18" s="91" customFormat="1" ht="15">
      <c r="A32" s="93"/>
      <c r="B32" s="93"/>
      <c r="C32" s="358"/>
      <c r="D32" s="358"/>
      <c r="E32" s="358"/>
      <c r="F32" s="358"/>
      <c r="G32" s="93"/>
      <c r="H32" s="94"/>
      <c r="I32" s="93"/>
      <c r="J32" s="358"/>
      <c r="K32" s="358"/>
      <c r="L32" s="358"/>
      <c r="M32" s="94"/>
      <c r="N32" s="94"/>
      <c r="O32" s="93"/>
      <c r="P32" s="93"/>
      <c r="Q32" s="93"/>
      <c r="R32" s="179"/>
    </row>
    <row r="33" spans="1:18" s="91" customFormat="1" ht="15">
      <c r="A33" s="93"/>
      <c r="B33" s="93"/>
      <c r="C33" s="358"/>
      <c r="D33" s="358"/>
      <c r="E33" s="358"/>
      <c r="F33" s="358"/>
      <c r="G33" s="93"/>
      <c r="H33" s="94"/>
      <c r="I33" s="93"/>
      <c r="J33" s="358"/>
      <c r="K33" s="358"/>
      <c r="L33" s="358"/>
      <c r="M33" s="94"/>
      <c r="N33" s="94"/>
      <c r="O33" s="93"/>
      <c r="P33" s="93"/>
      <c r="Q33" s="93"/>
      <c r="R33" s="179"/>
    </row>
    <row r="34" spans="1:18" s="91" customFormat="1" ht="15">
      <c r="A34" s="93"/>
      <c r="B34" s="93"/>
      <c r="C34" s="358"/>
      <c r="D34" s="358"/>
      <c r="E34" s="358"/>
      <c r="F34" s="358"/>
      <c r="G34" s="93"/>
      <c r="H34" s="94"/>
      <c r="I34" s="93"/>
      <c r="J34" s="358"/>
      <c r="K34" s="358"/>
      <c r="L34" s="358"/>
      <c r="M34" s="94"/>
      <c r="N34" s="94"/>
      <c r="O34" s="93"/>
      <c r="P34" s="93"/>
      <c r="Q34" s="93"/>
      <c r="R34" s="179"/>
    </row>
    <row r="35" spans="1:18" s="91" customFormat="1" ht="15">
      <c r="A35" s="93"/>
      <c r="B35" s="93"/>
      <c r="C35" s="358"/>
      <c r="D35" s="358"/>
      <c r="E35" s="358"/>
      <c r="F35" s="358"/>
      <c r="G35" s="93"/>
      <c r="H35" s="94"/>
      <c r="I35" s="93"/>
      <c r="J35" s="358"/>
      <c r="K35" s="358"/>
      <c r="L35" s="358"/>
      <c r="M35" s="94"/>
      <c r="N35" s="94"/>
      <c r="O35" s="93"/>
      <c r="P35" s="93"/>
      <c r="Q35" s="93"/>
      <c r="R35" s="179"/>
    </row>
    <row r="36" spans="1:18" s="91" customFormat="1" ht="15">
      <c r="A36" s="93"/>
      <c r="B36" s="93"/>
      <c r="C36" s="358"/>
      <c r="D36" s="358"/>
      <c r="E36" s="358"/>
      <c r="F36" s="358"/>
      <c r="G36" s="93"/>
      <c r="H36" s="94"/>
      <c r="I36" s="93"/>
      <c r="J36" s="358"/>
      <c r="K36" s="358"/>
      <c r="L36" s="358"/>
      <c r="M36" s="94"/>
      <c r="N36" s="94"/>
      <c r="O36" s="93"/>
      <c r="P36" s="93"/>
      <c r="Q36" s="93"/>
      <c r="R36" s="179"/>
    </row>
    <row r="37" spans="1:18" s="91" customFormat="1" ht="15">
      <c r="A37" s="93"/>
      <c r="B37" s="93"/>
      <c r="C37" s="358"/>
      <c r="D37" s="358"/>
      <c r="E37" s="358"/>
      <c r="F37" s="358"/>
      <c r="G37" s="93"/>
      <c r="H37" s="94"/>
      <c r="I37" s="93"/>
      <c r="J37" s="358"/>
      <c r="K37" s="358"/>
      <c r="L37" s="358"/>
      <c r="M37" s="94"/>
      <c r="N37" s="94"/>
      <c r="O37" s="93"/>
      <c r="P37" s="93"/>
      <c r="Q37" s="93"/>
      <c r="R37" s="179"/>
    </row>
    <row r="38" spans="1:18" s="91" customFormat="1" ht="15">
      <c r="A38" s="93"/>
      <c r="B38" s="93"/>
      <c r="C38" s="358"/>
      <c r="D38" s="358"/>
      <c r="E38" s="358"/>
      <c r="F38" s="358"/>
      <c r="G38" s="93"/>
      <c r="H38" s="94"/>
      <c r="I38" s="93"/>
      <c r="J38" s="358"/>
      <c r="K38" s="358"/>
      <c r="L38" s="358"/>
      <c r="M38" s="94"/>
      <c r="N38" s="94"/>
      <c r="O38" s="93"/>
      <c r="P38" s="93"/>
      <c r="Q38" s="93"/>
      <c r="R38" s="179"/>
    </row>
    <row r="39" spans="1:18" s="91" customFormat="1" ht="15">
      <c r="A39" s="93"/>
      <c r="B39" s="93"/>
      <c r="C39" s="358"/>
      <c r="D39" s="358"/>
      <c r="E39" s="358"/>
      <c r="F39" s="358"/>
      <c r="G39" s="93"/>
      <c r="H39" s="94"/>
      <c r="I39" s="93"/>
      <c r="J39" s="358"/>
      <c r="K39" s="358"/>
      <c r="L39" s="358"/>
      <c r="M39" s="94"/>
      <c r="N39" s="94"/>
      <c r="O39" s="93"/>
      <c r="P39" s="93"/>
      <c r="Q39" s="93"/>
      <c r="R39" s="179"/>
    </row>
    <row r="40" spans="1:18" s="91" customFormat="1" ht="15">
      <c r="A40" s="93"/>
      <c r="B40" s="93"/>
      <c r="C40" s="358"/>
      <c r="D40" s="358"/>
      <c r="E40" s="358"/>
      <c r="F40" s="358"/>
      <c r="G40" s="93"/>
      <c r="H40" s="94"/>
      <c r="I40" s="93"/>
      <c r="J40" s="358"/>
      <c r="K40" s="358"/>
      <c r="L40" s="358"/>
      <c r="M40" s="94"/>
      <c r="N40" s="94"/>
      <c r="O40" s="93"/>
      <c r="P40" s="93"/>
      <c r="Q40" s="93"/>
      <c r="R40" s="179"/>
    </row>
    <row r="41" spans="1:18" s="91" customFormat="1" ht="15">
      <c r="A41" s="93"/>
      <c r="B41" s="93"/>
      <c r="C41" s="358"/>
      <c r="D41" s="358"/>
      <c r="E41" s="358"/>
      <c r="F41" s="358"/>
      <c r="G41" s="93"/>
      <c r="H41" s="94"/>
      <c r="I41" s="93"/>
      <c r="J41" s="358"/>
      <c r="K41" s="358"/>
      <c r="L41" s="358"/>
      <c r="M41" s="94"/>
      <c r="N41" s="94"/>
      <c r="O41" s="93"/>
      <c r="P41" s="93"/>
      <c r="Q41" s="93"/>
      <c r="R41" s="179"/>
    </row>
    <row r="42" spans="1:18" s="91" customFormat="1" ht="15">
      <c r="A42" s="93"/>
      <c r="B42" s="93"/>
      <c r="C42" s="358"/>
      <c r="D42" s="358"/>
      <c r="E42" s="358"/>
      <c r="F42" s="358"/>
      <c r="G42" s="93"/>
      <c r="H42" s="94"/>
      <c r="I42" s="93"/>
      <c r="J42" s="358"/>
      <c r="K42" s="358"/>
      <c r="L42" s="358"/>
      <c r="M42" s="94"/>
      <c r="N42" s="94"/>
      <c r="O42" s="93"/>
      <c r="P42" s="93"/>
      <c r="Q42" s="93"/>
      <c r="R42" s="179"/>
    </row>
    <row r="43" spans="1:18" s="91" customFormat="1" ht="15">
      <c r="A43" s="93"/>
      <c r="B43" s="93"/>
      <c r="C43" s="358"/>
      <c r="D43" s="358"/>
      <c r="E43" s="358"/>
      <c r="F43" s="358"/>
      <c r="G43" s="93"/>
      <c r="H43" s="94"/>
      <c r="I43" s="93"/>
      <c r="J43" s="358"/>
      <c r="K43" s="358"/>
      <c r="L43" s="358"/>
      <c r="M43" s="94"/>
      <c r="N43" s="94"/>
      <c r="O43" s="93"/>
      <c r="P43" s="93"/>
      <c r="Q43" s="93"/>
      <c r="R43" s="179"/>
    </row>
    <row r="44" spans="1:18" s="91" customFormat="1" ht="15">
      <c r="A44" s="93"/>
      <c r="B44" s="93"/>
      <c r="C44" s="358"/>
      <c r="D44" s="358"/>
      <c r="E44" s="358"/>
      <c r="F44" s="358"/>
      <c r="G44" s="93"/>
      <c r="H44" s="94"/>
      <c r="I44" s="93"/>
      <c r="J44" s="358"/>
      <c r="K44" s="358"/>
      <c r="L44" s="358"/>
      <c r="M44" s="94"/>
      <c r="N44" s="94"/>
      <c r="O44" s="93"/>
      <c r="P44" s="93"/>
      <c r="Q44" s="93"/>
      <c r="R44" s="179"/>
    </row>
    <row r="45" spans="1:18" s="91" customFormat="1" ht="15">
      <c r="A45" s="93"/>
      <c r="B45" s="93"/>
      <c r="C45" s="358"/>
      <c r="D45" s="358"/>
      <c r="E45" s="358"/>
      <c r="F45" s="358"/>
      <c r="G45" s="93"/>
      <c r="H45" s="94"/>
      <c r="I45" s="93"/>
      <c r="J45" s="358"/>
      <c r="K45" s="358"/>
      <c r="L45" s="358"/>
      <c r="M45" s="94"/>
      <c r="N45" s="94"/>
      <c r="O45" s="93"/>
      <c r="P45" s="93"/>
      <c r="Q45" s="93"/>
      <c r="R45" s="179"/>
    </row>
    <row r="46" spans="1:18" s="91" customFormat="1" ht="15">
      <c r="A46" s="93"/>
      <c r="B46" s="93"/>
      <c r="C46" s="358"/>
      <c r="D46" s="358"/>
      <c r="E46" s="358"/>
      <c r="F46" s="358"/>
      <c r="G46" s="93"/>
      <c r="H46" s="94"/>
      <c r="I46" s="93"/>
      <c r="J46" s="358"/>
      <c r="K46" s="358"/>
      <c r="L46" s="358"/>
      <c r="M46" s="94"/>
      <c r="N46" s="94"/>
      <c r="O46" s="93"/>
      <c r="P46" s="93"/>
      <c r="Q46" s="93"/>
      <c r="R46" s="179"/>
    </row>
    <row r="47" spans="1:18" s="91" customFormat="1" ht="15">
      <c r="A47" s="93"/>
      <c r="B47" s="93"/>
      <c r="C47" s="358"/>
      <c r="D47" s="358"/>
      <c r="E47" s="358"/>
      <c r="F47" s="358"/>
      <c r="G47" s="93"/>
      <c r="H47" s="94"/>
      <c r="I47" s="93"/>
      <c r="J47" s="358"/>
      <c r="K47" s="358"/>
      <c r="L47" s="358"/>
      <c r="M47" s="94"/>
      <c r="N47" s="94"/>
      <c r="O47" s="93"/>
      <c r="P47" s="93"/>
      <c r="Q47" s="93"/>
      <c r="R47" s="179"/>
    </row>
    <row r="48" spans="1:18" s="91" customFormat="1" ht="15">
      <c r="A48" s="93"/>
      <c r="B48" s="93"/>
      <c r="C48" s="358"/>
      <c r="D48" s="358"/>
      <c r="E48" s="358"/>
      <c r="F48" s="358"/>
      <c r="G48" s="93"/>
      <c r="H48" s="94"/>
      <c r="I48" s="93"/>
      <c r="J48" s="358"/>
      <c r="K48" s="358"/>
      <c r="L48" s="358"/>
      <c r="M48" s="94"/>
      <c r="N48" s="94"/>
      <c r="O48" s="93"/>
      <c r="P48" s="93"/>
      <c r="Q48" s="93"/>
      <c r="R48" s="179"/>
    </row>
    <row r="49" spans="1:18" s="91" customFormat="1" ht="15">
      <c r="A49" s="93"/>
      <c r="B49" s="93"/>
      <c r="C49" s="358"/>
      <c r="D49" s="358"/>
      <c r="E49" s="358"/>
      <c r="F49" s="358"/>
      <c r="G49" s="93"/>
      <c r="H49" s="94"/>
      <c r="I49" s="93"/>
      <c r="J49" s="358"/>
      <c r="K49" s="358"/>
      <c r="L49" s="358"/>
      <c r="M49" s="94"/>
      <c r="N49" s="94"/>
      <c r="O49" s="93"/>
      <c r="P49" s="93"/>
      <c r="Q49" s="93"/>
      <c r="R49" s="179"/>
    </row>
    <row r="50" spans="1:18" s="91" customFormat="1" ht="15"/>
  </sheetData>
  <mergeCells count="93">
    <mergeCell ref="P7:R7"/>
    <mergeCell ref="J35:L35"/>
    <mergeCell ref="J24:L24"/>
    <mergeCell ref="J25:L25"/>
    <mergeCell ref="A7:H7"/>
    <mergeCell ref="I7:O7"/>
    <mergeCell ref="M8:M9"/>
    <mergeCell ref="N8:N9"/>
    <mergeCell ref="O8:O9"/>
    <mergeCell ref="J30:L30"/>
    <mergeCell ref="J31:L31"/>
    <mergeCell ref="J32:L32"/>
    <mergeCell ref="J33:L33"/>
    <mergeCell ref="J34:L34"/>
    <mergeCell ref="J27:L27"/>
    <mergeCell ref="J28:L28"/>
    <mergeCell ref="C2:O2"/>
    <mergeCell ref="J48:L48"/>
    <mergeCell ref="J49:L49"/>
    <mergeCell ref="J42:L42"/>
    <mergeCell ref="J43:L43"/>
    <mergeCell ref="J44:L44"/>
    <mergeCell ref="J45:L45"/>
    <mergeCell ref="J46:L46"/>
    <mergeCell ref="J47:L47"/>
    <mergeCell ref="J36:L36"/>
    <mergeCell ref="J37:L37"/>
    <mergeCell ref="J38:L38"/>
    <mergeCell ref="J39:L39"/>
    <mergeCell ref="J40:L40"/>
    <mergeCell ref="J41:L41"/>
    <mergeCell ref="J26:L26"/>
    <mergeCell ref="J29:L29"/>
    <mergeCell ref="J18:L18"/>
    <mergeCell ref="J19:L19"/>
    <mergeCell ref="J20:L20"/>
    <mergeCell ref="J21:L21"/>
    <mergeCell ref="J22:L22"/>
    <mergeCell ref="J23:L23"/>
    <mergeCell ref="C35:F35"/>
    <mergeCell ref="C24:F24"/>
    <mergeCell ref="C25:F25"/>
    <mergeCell ref="C41:F41"/>
    <mergeCell ref="C30:F30"/>
    <mergeCell ref="C31:F31"/>
    <mergeCell ref="C32:F32"/>
    <mergeCell ref="C33:F33"/>
    <mergeCell ref="C34:F34"/>
    <mergeCell ref="C36:F36"/>
    <mergeCell ref="C37:F37"/>
    <mergeCell ref="C38:F38"/>
    <mergeCell ref="C39:F39"/>
    <mergeCell ref="C40:F40"/>
    <mergeCell ref="C26:F26"/>
    <mergeCell ref="C27:F27"/>
    <mergeCell ref="C48:F48"/>
    <mergeCell ref="C49:F49"/>
    <mergeCell ref="C42:F42"/>
    <mergeCell ref="C43:F43"/>
    <mergeCell ref="C44:F44"/>
    <mergeCell ref="C45:F45"/>
    <mergeCell ref="C46:F46"/>
    <mergeCell ref="C47:F47"/>
    <mergeCell ref="C28:F28"/>
    <mergeCell ref="C29:F29"/>
    <mergeCell ref="C18:F18"/>
    <mergeCell ref="C19:F19"/>
    <mergeCell ref="C20:F20"/>
    <mergeCell ref="C21:F21"/>
    <mergeCell ref="C22:F22"/>
    <mergeCell ref="C23:F23"/>
    <mergeCell ref="A4:D4"/>
    <mergeCell ref="J10:L10"/>
    <mergeCell ref="J11:L11"/>
    <mergeCell ref="J12:L12"/>
    <mergeCell ref="J13:L13"/>
    <mergeCell ref="J9:L9"/>
    <mergeCell ref="F4:H4"/>
    <mergeCell ref="C12:F12"/>
    <mergeCell ref="C13:F13"/>
    <mergeCell ref="C9:F9"/>
    <mergeCell ref="C15:F15"/>
    <mergeCell ref="C16:F16"/>
    <mergeCell ref="C17:F17"/>
    <mergeCell ref="C8:F8"/>
    <mergeCell ref="J8:L8"/>
    <mergeCell ref="C10:F10"/>
    <mergeCell ref="C11:F11"/>
    <mergeCell ref="J14:L14"/>
    <mergeCell ref="C14:F14"/>
    <mergeCell ref="J15:L15"/>
    <mergeCell ref="J16:L16"/>
    <mergeCell ref="J17:L17"/>
  </mergeCells>
  <conditionalFormatting sqref="B10:B49">
    <cfRule type="cellIs" dxfId="17" priority="22" operator="equal">
      <formula>"Negligible Risk"</formula>
    </cfRule>
    <cfRule type="cellIs" dxfId="16" priority="23" operator="equal">
      <formula>"Minor Risk"</formula>
    </cfRule>
    <cfRule type="cellIs" dxfId="15" priority="24" operator="equal">
      <formula>"Moderate Risk"</formula>
    </cfRule>
    <cfRule type="cellIs" dxfId="14" priority="25" operator="equal">
      <formula>"High Risk"</formula>
    </cfRule>
    <cfRule type="cellIs" dxfId="13" priority="26" operator="equal">
      <formula>"Extreme Risk"</formula>
    </cfRule>
  </conditionalFormatting>
  <conditionalFormatting sqref="P10:Q49">
    <cfRule type="cellIs" dxfId="12" priority="12" operator="equal">
      <formula>"Negligible Risk"</formula>
    </cfRule>
    <cfRule type="cellIs" dxfId="11" priority="13" operator="equal">
      <formula>"Low Risk"</formula>
    </cfRule>
    <cfRule type="cellIs" dxfId="10" priority="14" operator="equal">
      <formula>"Moderate Risk"</formula>
    </cfRule>
    <cfRule type="cellIs" dxfId="9" priority="15" operator="equal">
      <formula>"High Risk"</formula>
    </cfRule>
    <cfRule type="cellIs" dxfId="8" priority="16" operator="equal">
      <formula>"Extreme Risk"</formula>
    </cfRule>
  </conditionalFormatting>
  <conditionalFormatting sqref="G10:G49">
    <cfRule type="cellIs" dxfId="7" priority="1" operator="equal">
      <formula>"Negligible Risk"</formula>
    </cfRule>
    <cfRule type="cellIs" dxfId="6" priority="2" operator="equal">
      <formula>"Minor Risk"</formula>
    </cfRule>
    <cfRule type="cellIs" dxfId="5" priority="3" operator="equal">
      <formula>"Moderate Risk"</formula>
    </cfRule>
    <cfRule type="cellIs" dxfId="4" priority="4" operator="equal">
      <formula>"High Risk"</formula>
    </cfRule>
    <cfRule type="cellIs" dxfId="3" priority="5" operator="equal">
      <formula>"Extreme Risk"</formula>
    </cfRule>
  </conditionalFormatting>
  <dataValidations count="3">
    <dataValidation type="list" allowBlank="1" showInputMessage="1" showErrorMessage="1" sqref="I10" xr:uid="{00000000-0002-0000-0500-000000000000}">
      <formula1>"Approve,Approve under condition*, Make counterproposal*,Reject*"</formula1>
    </dataValidation>
    <dataValidation type="list" allowBlank="1" showInputMessage="1" showErrorMessage="1" sqref="R10:R49" xr:uid="{00000000-0002-0000-0500-000001000000}">
      <formula1>"1,2,3,4"</formula1>
    </dataValidation>
    <dataValidation type="list" allowBlank="1" showInputMessage="1" showErrorMessage="1" sqref="B10:B49 G10:G49" xr:uid="{00000000-0002-0000-0500-000002000000}">
      <formula1>"Extreme Risk,High Risk,Moderate Risk,Minor Risk,Negligible Risk"</formula1>
    </dataValidation>
  </dataValidations>
  <pageMargins left="0.25" right="0.25" top="0.75" bottom="0.75" header="0.3" footer="0.3"/>
  <pageSetup paperSize="9" scale="49" orientation="landscape" r:id="rId1"/>
  <legacyDrawing r:id="rId2"/>
  <extLst>
    <ext xmlns:x14="http://schemas.microsoft.com/office/spreadsheetml/2009/9/main" uri="{78C0D931-6437-407d-A8EE-F0AAD7539E65}">
      <x14:conditionalFormattings>
        <x14:conditionalFormatting xmlns:xm="http://schemas.microsoft.com/office/excel/2006/main">
          <x14:cfRule type="iconSet" priority="6" id="{F2E7C5E2-DD1E-49C8-A244-4BAB55999A88}">
            <x14:iconSet iconSet="4RedToBlack" showValue="0" custom="1">
              <x14:cfvo type="percent">
                <xm:f>0</xm:f>
              </x14:cfvo>
              <x14:cfvo type="formula">
                <xm:f>2</xm:f>
              </x14:cfvo>
              <x14:cfvo type="formula">
                <xm:f>3</xm:f>
              </x14:cfvo>
              <x14:cfvo type="formula">
                <xm:f>4</xm:f>
              </x14:cfvo>
              <x14:cfIcon iconSet="3Symbols2" iconId="2"/>
              <x14:cfIcon iconSet="5Rating" iconId="2"/>
              <x14:cfIcon iconSet="3Flags" iconId="0"/>
              <x14:cfIcon iconSet="3Symbols2" iconId="0"/>
            </x14:iconSet>
          </x14:cfRule>
          <xm:sqref>R10:R49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42"/>
  <sheetViews>
    <sheetView showGridLines="0" topLeftCell="A5" zoomScale="80" zoomScaleNormal="80" workbookViewId="0">
      <selection activeCell="F24" sqref="F24"/>
    </sheetView>
  </sheetViews>
  <sheetFormatPr defaultRowHeight="12.75"/>
  <cols>
    <col min="1" max="1" width="31.140625" bestFit="1" customWidth="1"/>
    <col min="2" max="2" width="20.28515625" customWidth="1"/>
    <col min="3" max="3" width="8.42578125" customWidth="1"/>
    <col min="4" max="4" width="3.5703125" customWidth="1"/>
    <col min="5" max="5" width="15.5703125" customWidth="1"/>
    <col min="6" max="10" width="15.7109375" customWidth="1"/>
  </cols>
  <sheetData>
    <row r="1" spans="1:11" ht="15">
      <c r="A1" s="29" t="s">
        <v>58</v>
      </c>
    </row>
    <row r="2" spans="1:11">
      <c r="A2" s="30"/>
    </row>
    <row r="3" spans="1:11" ht="25.5">
      <c r="A3" s="239" t="s">
        <v>289</v>
      </c>
      <c r="B3" s="31" t="s">
        <v>98</v>
      </c>
      <c r="C3" s="31"/>
      <c r="K3" s="31"/>
    </row>
    <row r="4" spans="1:11" ht="25.5">
      <c r="A4" s="239" t="s">
        <v>290</v>
      </c>
      <c r="B4" s="31" t="s">
        <v>97</v>
      </c>
      <c r="C4" s="31"/>
      <c r="K4" s="31"/>
    </row>
    <row r="5" spans="1:11" ht="25.5">
      <c r="A5" s="239" t="s">
        <v>291</v>
      </c>
      <c r="B5" s="31" t="s">
        <v>96</v>
      </c>
      <c r="C5" s="31"/>
    </row>
    <row r="6" spans="1:11" ht="25.5">
      <c r="A6" s="239" t="s">
        <v>292</v>
      </c>
      <c r="B6" s="31" t="s">
        <v>95</v>
      </c>
      <c r="C6" s="31"/>
    </row>
    <row r="7" spans="1:11" ht="25.5">
      <c r="A7" s="239" t="s">
        <v>293</v>
      </c>
      <c r="B7" s="31" t="s">
        <v>94</v>
      </c>
      <c r="C7" s="31"/>
    </row>
    <row r="9" spans="1:11" ht="15.75">
      <c r="A9" s="29" t="s">
        <v>59</v>
      </c>
      <c r="F9" s="367" t="s">
        <v>55</v>
      </c>
      <c r="G9" s="367"/>
      <c r="H9" s="367"/>
      <c r="I9" s="367"/>
      <c r="J9" s="367"/>
    </row>
    <row r="10" spans="1:11" ht="38.450000000000003" customHeight="1">
      <c r="A10" s="66"/>
      <c r="E10" s="32"/>
      <c r="F10" s="63" t="s">
        <v>150</v>
      </c>
      <c r="G10" s="63" t="s">
        <v>149</v>
      </c>
      <c r="H10" s="63" t="s">
        <v>153</v>
      </c>
      <c r="I10" s="63" t="s">
        <v>152</v>
      </c>
      <c r="J10" s="63" t="s">
        <v>151</v>
      </c>
    </row>
    <row r="11" spans="1:11" ht="50.1" customHeight="1">
      <c r="A11" s="240" t="s">
        <v>294</v>
      </c>
      <c r="B11" s="207" t="s">
        <v>138</v>
      </c>
      <c r="C11" s="207"/>
      <c r="D11" s="368" t="s">
        <v>56</v>
      </c>
      <c r="E11" s="37" t="s">
        <v>154</v>
      </c>
      <c r="F11" s="208" t="s">
        <v>268</v>
      </c>
      <c r="G11" s="209" t="s">
        <v>100</v>
      </c>
      <c r="H11" s="210" t="s">
        <v>99</v>
      </c>
      <c r="I11" s="211" t="s">
        <v>136</v>
      </c>
      <c r="J11" s="211" t="s">
        <v>136</v>
      </c>
    </row>
    <row r="12" spans="1:11" ht="50.1" customHeight="1">
      <c r="A12" s="240" t="s">
        <v>295</v>
      </c>
      <c r="B12" s="207" t="s">
        <v>132</v>
      </c>
      <c r="C12" s="207"/>
      <c r="D12" s="368"/>
      <c r="E12" s="37" t="s">
        <v>156</v>
      </c>
      <c r="F12" s="212" t="s">
        <v>137</v>
      </c>
      <c r="G12" s="208" t="s">
        <v>268</v>
      </c>
      <c r="H12" s="209" t="s">
        <v>100</v>
      </c>
      <c r="I12" s="210" t="s">
        <v>99</v>
      </c>
      <c r="J12" s="211" t="s">
        <v>136</v>
      </c>
    </row>
    <row r="13" spans="1:11" ht="50.1" customHeight="1">
      <c r="A13" s="240" t="s">
        <v>296</v>
      </c>
      <c r="B13" s="207" t="s">
        <v>135</v>
      </c>
      <c r="C13" s="207"/>
      <c r="D13" s="368"/>
      <c r="E13" s="37" t="s">
        <v>157</v>
      </c>
      <c r="F13" s="212" t="s">
        <v>137</v>
      </c>
      <c r="G13" s="208" t="s">
        <v>268</v>
      </c>
      <c r="H13" s="209" t="s">
        <v>100</v>
      </c>
      <c r="I13" s="209" t="s">
        <v>100</v>
      </c>
      <c r="J13" s="210" t="s">
        <v>99</v>
      </c>
    </row>
    <row r="14" spans="1:11" ht="50.1" customHeight="1">
      <c r="A14" s="240" t="s">
        <v>297</v>
      </c>
      <c r="B14" s="207" t="s">
        <v>134</v>
      </c>
      <c r="C14" s="207"/>
      <c r="D14" s="368"/>
      <c r="E14" s="37" t="s">
        <v>155</v>
      </c>
      <c r="F14" s="212" t="s">
        <v>137</v>
      </c>
      <c r="G14" s="212" t="s">
        <v>137</v>
      </c>
      <c r="H14" s="208" t="s">
        <v>268</v>
      </c>
      <c r="I14" s="209" t="s">
        <v>100</v>
      </c>
      <c r="J14" s="209" t="s">
        <v>100</v>
      </c>
    </row>
    <row r="15" spans="1:11" ht="50.1" customHeight="1">
      <c r="A15" s="240" t="s">
        <v>298</v>
      </c>
      <c r="B15" s="207" t="s">
        <v>133</v>
      </c>
      <c r="C15" s="207"/>
      <c r="D15" s="368"/>
      <c r="E15" s="37" t="s">
        <v>285</v>
      </c>
      <c r="F15" s="212" t="s">
        <v>137</v>
      </c>
      <c r="G15" s="212" t="s">
        <v>137</v>
      </c>
      <c r="H15" s="212" t="s">
        <v>137</v>
      </c>
      <c r="I15" s="208" t="s">
        <v>268</v>
      </c>
      <c r="J15" s="208" t="s">
        <v>268</v>
      </c>
    </row>
    <row r="17" spans="1:5">
      <c r="E17" s="59"/>
    </row>
    <row r="18" spans="1:5" ht="38.25">
      <c r="A18" s="241" t="s">
        <v>299</v>
      </c>
      <c r="B18" s="242" t="s">
        <v>275</v>
      </c>
      <c r="E18" s="54"/>
    </row>
    <row r="19" spans="1:5" ht="38.25">
      <c r="A19" s="241" t="s">
        <v>300</v>
      </c>
      <c r="B19" s="242" t="s">
        <v>275</v>
      </c>
      <c r="E19" s="54"/>
    </row>
    <row r="20" spans="1:5" ht="38.25">
      <c r="A20" s="241" t="s">
        <v>301</v>
      </c>
      <c r="B20" s="243" t="s">
        <v>276</v>
      </c>
      <c r="E20" s="54"/>
    </row>
    <row r="21" spans="1:5" ht="38.25">
      <c r="A21" s="241" t="s">
        <v>302</v>
      </c>
      <c r="B21" s="244" t="s">
        <v>277</v>
      </c>
      <c r="E21" s="54"/>
    </row>
    <row r="22" spans="1:5" ht="38.25">
      <c r="A22" s="241" t="s">
        <v>303</v>
      </c>
      <c r="B22" s="245" t="s">
        <v>278</v>
      </c>
      <c r="E22" s="54"/>
    </row>
    <row r="23" spans="1:5" ht="38.25">
      <c r="A23" s="241" t="s">
        <v>304</v>
      </c>
      <c r="B23" s="242" t="s">
        <v>275</v>
      </c>
    </row>
    <row r="24" spans="1:5" ht="38.25">
      <c r="A24" s="241" t="s">
        <v>305</v>
      </c>
      <c r="B24" s="243" t="s">
        <v>276</v>
      </c>
      <c r="E24" s="54"/>
    </row>
    <row r="25" spans="1:5" ht="38.25">
      <c r="A25" s="241" t="s">
        <v>306</v>
      </c>
      <c r="B25" s="244" t="s">
        <v>277</v>
      </c>
      <c r="E25" s="54"/>
    </row>
    <row r="26" spans="1:5" ht="38.25">
      <c r="A26" s="241" t="s">
        <v>307</v>
      </c>
      <c r="B26" s="244" t="s">
        <v>277</v>
      </c>
      <c r="E26" s="54"/>
    </row>
    <row r="27" spans="1:5" ht="38.25">
      <c r="A27" s="241" t="s">
        <v>308</v>
      </c>
      <c r="B27" s="245" t="s">
        <v>278</v>
      </c>
      <c r="E27" s="54"/>
    </row>
    <row r="28" spans="1:5" ht="38.25">
      <c r="A28" s="241" t="s">
        <v>309</v>
      </c>
      <c r="B28" s="243" t="s">
        <v>276</v>
      </c>
      <c r="E28" s="54"/>
    </row>
    <row r="29" spans="1:5" ht="38.25">
      <c r="A29" s="241" t="s">
        <v>310</v>
      </c>
      <c r="B29" s="244" t="s">
        <v>277</v>
      </c>
      <c r="E29" s="54"/>
    </row>
    <row r="30" spans="1:5" ht="38.25">
      <c r="A30" s="241" t="s">
        <v>311</v>
      </c>
      <c r="B30" s="244" t="s">
        <v>277</v>
      </c>
      <c r="E30" s="54"/>
    </row>
    <row r="31" spans="1:5" ht="38.25">
      <c r="A31" s="241" t="s">
        <v>312</v>
      </c>
      <c r="B31" s="245" t="s">
        <v>278</v>
      </c>
      <c r="E31" s="54"/>
    </row>
    <row r="32" spans="1:5" ht="38.25">
      <c r="A32" s="241" t="s">
        <v>313</v>
      </c>
      <c r="B32" s="246" t="s">
        <v>279</v>
      </c>
    </row>
    <row r="33" spans="1:2" ht="38.25">
      <c r="A33" s="241" t="s">
        <v>314</v>
      </c>
      <c r="B33" s="244" t="s">
        <v>277</v>
      </c>
    </row>
    <row r="34" spans="1:2" ht="38.25">
      <c r="A34" s="241" t="s">
        <v>315</v>
      </c>
      <c r="B34" s="245" t="s">
        <v>278</v>
      </c>
    </row>
    <row r="35" spans="1:2" ht="38.25">
      <c r="A35" s="241" t="s">
        <v>316</v>
      </c>
      <c r="B35" s="245" t="s">
        <v>278</v>
      </c>
    </row>
    <row r="36" spans="1:2" ht="38.25">
      <c r="A36" s="241" t="s">
        <v>317</v>
      </c>
      <c r="B36" s="246" t="s">
        <v>279</v>
      </c>
    </row>
    <row r="37" spans="1:2" ht="38.25">
      <c r="A37" s="241" t="s">
        <v>318</v>
      </c>
      <c r="B37" s="246" t="s">
        <v>279</v>
      </c>
    </row>
    <row r="38" spans="1:2" ht="38.25">
      <c r="A38" s="241" t="s">
        <v>319</v>
      </c>
      <c r="B38" s="245" t="s">
        <v>278</v>
      </c>
    </row>
    <row r="39" spans="1:2" ht="38.25">
      <c r="A39" s="241" t="s">
        <v>320</v>
      </c>
      <c r="B39" s="246" t="s">
        <v>279</v>
      </c>
    </row>
    <row r="40" spans="1:2" ht="38.25">
      <c r="A40" s="241" t="s">
        <v>321</v>
      </c>
      <c r="B40" s="246" t="s">
        <v>279</v>
      </c>
    </row>
    <row r="41" spans="1:2" ht="38.25">
      <c r="A41" s="241" t="s">
        <v>322</v>
      </c>
      <c r="B41" s="246" t="s">
        <v>279</v>
      </c>
    </row>
    <row r="42" spans="1:2" ht="38.25">
      <c r="A42" s="241" t="s">
        <v>323</v>
      </c>
      <c r="B42" s="246" t="s">
        <v>279</v>
      </c>
    </row>
  </sheetData>
  <mergeCells count="2">
    <mergeCell ref="F9:J9"/>
    <mergeCell ref="D11:D15"/>
  </mergeCells>
  <conditionalFormatting sqref="C18:C37">
    <cfRule type="cellIs" dxfId="2" priority="4" stopIfTrue="1" operator="between">
      <formula>10</formula>
      <formula>25</formula>
    </cfRule>
    <cfRule type="cellIs" dxfId="1" priority="5" stopIfTrue="1" operator="between">
      <formula>5</formula>
      <formula>9</formula>
    </cfRule>
    <cfRule type="cellIs" dxfId="0" priority="6" stopIfTrue="1" operator="between">
      <formula>1</formula>
      <formula>4</formula>
    </cfRule>
  </conditionalFormatting>
  <pageMargins left="0.25" right="0.25"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ynamic_x0020_Email_x0020_Text xmlns="ae3908d4-de44-4492-9100-3188aa615aa9" xsi:nil="true"/>
    <Expiry_x0020_Date xmlns="ae3908d4-de44-4492-9100-3188aa615aa9" xsi:nil="true"/>
    <Effective_x0020_Date xmlns="ae3908d4-de44-4492-9100-3188aa615aa9">2019-06-20T22:00:00+00:00</Effective_x0020_Date>
    <Action xmlns="ae3908d4-de44-4492-9100-3188aa615aa9">None</Action>
    <TaxKeywordTaxHTField xmlns="646f8b41-29e8-4835-84a0-74fd685eac9d">
      <Terms xmlns="http://schemas.microsoft.com/office/infopath/2007/PartnerControls"/>
    </TaxKeywordTaxHTField>
    <TaxCatchAll xmlns="646f8b41-29e8-4835-84a0-74fd685eac9d"/>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B01EC71137ED940B1A3A706FDE0DCF9" ma:contentTypeVersion="18" ma:contentTypeDescription="Create a new document." ma:contentTypeScope="" ma:versionID="d56a00a02445c33207737d717da71109">
  <xsd:schema xmlns:xsd="http://www.w3.org/2001/XMLSchema" xmlns:xs="http://www.w3.org/2001/XMLSchema" xmlns:p="http://schemas.microsoft.com/office/2006/metadata/properties" xmlns:ns2="ae3908d4-de44-4492-9100-3188aa615aa9" xmlns:ns3="646f8b41-29e8-4835-84a0-74fd685eac9d" targetNamespace="http://schemas.microsoft.com/office/2006/metadata/properties" ma:root="true" ma:fieldsID="ba287d16fe61a46cb5b8f6f2dec83bb9" ns2:_="" ns3:_="">
    <xsd:import namespace="ae3908d4-de44-4492-9100-3188aa615aa9"/>
    <xsd:import namespace="646f8b41-29e8-4835-84a0-74fd685eac9d"/>
    <xsd:element name="properties">
      <xsd:complexType>
        <xsd:sequence>
          <xsd:element name="documentManagement">
            <xsd:complexType>
              <xsd:all>
                <xsd:element ref="ns2:Dynamic_x0020_Email_x0020_Text" minOccurs="0"/>
                <xsd:element ref="ns2:Action" minOccurs="0"/>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Effective_x0020_Date" minOccurs="0"/>
                <xsd:element ref="ns2:Expiry_x0020_Date" minOccurs="0"/>
                <xsd:element ref="ns2:MediaServiceGenerationTime" minOccurs="0"/>
                <xsd:element ref="ns2:MediaServiceEventHashCode" minOccurs="0"/>
                <xsd:element ref="ns3:TaxKeywordTaxHTField"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3908d4-de44-4492-9100-3188aa615aa9" elementFormDefault="qualified">
    <xsd:import namespace="http://schemas.microsoft.com/office/2006/documentManagement/types"/>
    <xsd:import namespace="http://schemas.microsoft.com/office/infopath/2007/PartnerControls"/>
    <xsd:element name="Dynamic_x0020_Email_x0020_Text" ma:index="2" nillable="true" ma:displayName="Dynamic Email Text" ma:description="All text in this field will be added to the email sent without any formatting." ma:internalName="Dynamic_x0020_Email_x0020_Text">
      <xsd:simpleType>
        <xsd:restriction base="dms:Note">
          <xsd:maxLength value="255"/>
        </xsd:restriction>
      </xsd:simpleType>
    </xsd:element>
    <xsd:element name="Action" ma:index="3" nillable="true" ma:displayName="Action" ma:default="None" ma:format="Dropdown" ma:internalName="Action">
      <xsd:simpleType>
        <xsd:restriction base="dms:Choice">
          <xsd:enumeration value="None"/>
          <xsd:enumeration value="Inform Stakeholders"/>
          <xsd:enumeration value="Stakeholders informed (set by the workflow)"/>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Location" ma:index="14" nillable="true" ma:displayName="MediaServiceLoca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Effective_x0020_Date" ma:index="18" nillable="true" ma:displayName="Effective Date" ma:format="DateOnly" ma:internalName="Effective_x0020_Date">
      <xsd:simpleType>
        <xsd:restriction base="dms:DateTime"/>
      </xsd:simpleType>
    </xsd:element>
    <xsd:element name="Expiry_x0020_Date" ma:index="19" nillable="true" ma:displayName="Expiry Date" ma:format="DateOnly" ma:internalName="Expiry_x0020_Date">
      <xsd:simpleType>
        <xsd:restriction base="dms:DateTim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46f8b41-29e8-4835-84a0-74fd685eac9d"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KeywordTaxHTField" ma:index="23" nillable="true" ma:taxonomy="true" ma:internalName="TaxKeywordTaxHTField" ma:taxonomyFieldName="TaxKeyword" ma:displayName="Enterprise Keywords" ma:fieldId="{23f27201-bee3-471e-b2e7-b64fd8b7ca38}" ma:taxonomyMulti="true" ma:sspId="ab0c2b0b-1913-4748-bc42-b307ee732808" ma:termSetId="00000000-0000-0000-0000-000000000000" ma:anchorId="00000000-0000-0000-0000-000000000000" ma:open="true" ma:isKeyword="true">
      <xsd:complexType>
        <xsd:sequence>
          <xsd:element ref="pc:Terms" minOccurs="0" maxOccurs="1"/>
        </xsd:sequence>
      </xsd:complexType>
    </xsd:element>
    <xsd:element name="TaxCatchAll" ma:index="24" nillable="true" ma:displayName="Taxonomy Catch All Column" ma:hidden="true" ma:list="{83970775-c478-4664-a099-380ffeef1640}" ma:internalName="TaxCatchAll" ma:showField="CatchAllData" ma:web="646f8b41-29e8-4835-84a0-74fd685eac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4753FA-CEBC-4E2F-9B75-8C43BDBD7979}">
  <ds:schemaRefs>
    <ds:schemaRef ds:uri="http://schemas.microsoft.com/office/2006/documentManagement/types"/>
    <ds:schemaRef ds:uri="http://schemas.openxmlformats.org/package/2006/metadata/core-properties"/>
    <ds:schemaRef ds:uri="http://schemas.microsoft.com/office/2006/metadata/properties"/>
    <ds:schemaRef ds:uri="http://purl.org/dc/dcmitype/"/>
    <ds:schemaRef ds:uri="ae3908d4-de44-4492-9100-3188aa615aa9"/>
    <ds:schemaRef ds:uri="http://schemas.microsoft.com/office/infopath/2007/PartnerControls"/>
    <ds:schemaRef ds:uri="646f8b41-29e8-4835-84a0-74fd685eac9d"/>
    <ds:schemaRef ds:uri="http://www.w3.org/XML/1998/namespace"/>
    <ds:schemaRef ds:uri="http://purl.org/dc/terms/"/>
    <ds:schemaRef ds:uri="http://purl.org/dc/elements/1.1/"/>
  </ds:schemaRefs>
</ds:datastoreItem>
</file>

<file path=customXml/itemProps2.xml><?xml version="1.0" encoding="utf-8"?>
<ds:datastoreItem xmlns:ds="http://schemas.openxmlformats.org/officeDocument/2006/customXml" ds:itemID="{7C7DFCB5-AF4A-4C11-B0C5-9C2F046441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e3908d4-de44-4492-9100-3188aa615aa9"/>
    <ds:schemaRef ds:uri="646f8b41-29e8-4835-84a0-74fd685eac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70DFAC-2849-433A-BF5B-CF51186F2245}">
  <ds:schemaRefs>
    <ds:schemaRef ds:uri="http://schemas.microsoft.com/sharepoint/v3/contenttype/forms"/>
  </ds:schemaRefs>
</ds:datastoreItem>
</file>

<file path=docMetadata/LabelInfo.xml><?xml version="1.0" encoding="utf-8"?>
<clbl:labelList xmlns:clbl="http://schemas.microsoft.com/office/2020/mipLabelMetadata">
  <clbl:label id="{40f20d95-30f1-4757-92d7-5495691a0c29}" enabled="1" method="Privileged" siteId="{98616167-5668-4e66-acbf-925e81df8b0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Cover Page</vt:lpstr>
      <vt:lpstr>Risk Assessment</vt:lpstr>
      <vt:lpstr>Photos</vt:lpstr>
      <vt:lpstr>REFERENCES</vt:lpstr>
      <vt:lpstr>Risk Profiles</vt:lpstr>
      <vt:lpstr>Action Plan &amp; Mgt Validation</vt:lpstr>
      <vt:lpstr>Liste</vt:lpstr>
      <vt:lpstr>Gravité</vt:lpstr>
      <vt:lpstr>'Risk Assessment'!Print_Area</vt:lpstr>
      <vt:lpstr>Photos!Print_Titles</vt:lpstr>
      <vt:lpstr>REFERENCES!Print_Titles</vt:lpstr>
      <vt:lpstr>'Risk Assessment'!Print_Titles</vt:lpstr>
      <vt:lpstr>Probabilité</vt:lpstr>
    </vt:vector>
  </TitlesOfParts>
  <Company>Nestle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DeCaro Oliver (OLD)</dc:creator>
  <cp:lastModifiedBy>DeCaro Oliver (OLD)</cp:lastModifiedBy>
  <cp:lastPrinted>2019-06-03T11:38:58Z</cp:lastPrinted>
  <dcterms:created xsi:type="dcterms:W3CDTF">2008-06-12T07:32:56Z</dcterms:created>
  <dcterms:modified xsi:type="dcterms:W3CDTF">2025-01-20T12:16:34Z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0x0101001B01EC71137ED940B1A3A706FDE0DCF9</vt:lpwstr>
  </property>
  <property fmtid="{D5CDD505-2E9C-101B-9397-08002B2CF9AE}" pid="3" name="ProjectKeywords">
    <vt:lpwstr/>
  </property>
</Properties>
</file>